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ntnu-my.sharepoint.com/personal/susanntr_ntnu_no/Documents/PhD/Projects/BaCBM2 ScCBM2/CBM2 GitHub/Binding_assays/"/>
    </mc:Choice>
  </mc:AlternateContent>
  <xr:revisionPtr revIDLastSave="546" documentId="8_{5805E340-17DB-4E78-A355-ED1599316AC1}" xr6:coauthVersionLast="47" xr6:coauthVersionMax="47" xr10:uidLastSave="{D21CE6CB-EE69-4E2A-92C1-7B07FE64767B}"/>
  <bookViews>
    <workbookView xWindow="5390" yWindow="490" windowWidth="26370" windowHeight="19140" xr2:uid="{3E29D5CB-884F-46E9-94BD-788C38342E7B}"/>
  </bookViews>
  <sheets>
    <sheet name="Ba+Avicel" sheetId="6" r:id="rId1"/>
    <sheet name="Sc+Avicel" sheetId="3" r:id="rId2"/>
    <sheet name="Sc+CNF" sheetId="1" r:id="rId3"/>
    <sheet name="Sc+CNC" sheetId="2" r:id="rId4"/>
    <sheet name="Ba Sc + a-chitin" sheetId="7" r:id="rId5"/>
    <sheet name="Ba Sc + b-chitin" sheetId="8" r:id="rId6"/>
    <sheet name="Sc + PET" sheetId="11" r:id="rId7"/>
    <sheet name="Sc mut + PET" sheetId="10" r:id="rId8"/>
  </sheets>
  <externalReferences>
    <externalReference r:id="rId9"/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" i="2" l="1"/>
  <c r="K56" i="6" l="1"/>
  <c r="K57" i="6"/>
  <c r="K58" i="6"/>
  <c r="K59" i="6"/>
  <c r="K60" i="6"/>
  <c r="K61" i="6"/>
  <c r="K62" i="6"/>
  <c r="K55" i="6"/>
  <c r="S27" i="2" l="1"/>
  <c r="S28" i="2"/>
  <c r="S29" i="2"/>
  <c r="S30" i="2"/>
  <c r="S31" i="2"/>
  <c r="S32" i="2"/>
  <c r="S33" i="2"/>
  <c r="S26" i="2"/>
  <c r="R27" i="2"/>
  <c r="R28" i="2"/>
  <c r="R29" i="2"/>
  <c r="R30" i="2"/>
  <c r="R31" i="2"/>
  <c r="R32" i="2"/>
  <c r="R33" i="2"/>
  <c r="R26" i="2"/>
  <c r="Q27" i="2"/>
  <c r="Q28" i="2"/>
  <c r="Q29" i="2"/>
  <c r="Q30" i="2"/>
  <c r="Q31" i="2"/>
  <c r="Q32" i="2"/>
  <c r="Q33" i="2"/>
  <c r="Q26" i="2"/>
  <c r="R33" i="1"/>
  <c r="R26" i="1"/>
  <c r="O18" i="2" l="1" a="1"/>
  <c r="O18" i="2" s="1"/>
  <c r="O17" i="1"/>
  <c r="T31" i="1" s="1"/>
  <c r="O16" i="1" a="1"/>
  <c r="O16" i="1" s="1"/>
  <c r="R32" i="1" l="1"/>
  <c r="S31" i="1"/>
  <c r="T30" i="1"/>
  <c r="R30" i="1"/>
  <c r="S29" i="1"/>
  <c r="T28" i="1"/>
  <c r="T29" i="1"/>
  <c r="R29" i="1"/>
  <c r="S28" i="1"/>
  <c r="T27" i="1"/>
  <c r="S30" i="1"/>
  <c r="R28" i="1"/>
  <c r="S27" i="1"/>
  <c r="S26" i="1"/>
  <c r="R27" i="1"/>
  <c r="T33" i="1"/>
  <c r="T26" i="1"/>
  <c r="S33" i="1"/>
  <c r="T32" i="1"/>
  <c r="R31" i="1"/>
  <c r="S32" i="1"/>
  <c r="N73" i="2"/>
  <c r="N74" i="2"/>
  <c r="N75" i="2"/>
  <c r="N76" i="2"/>
  <c r="N77" i="2"/>
  <c r="N78" i="2"/>
  <c r="N79" i="2"/>
  <c r="P79" i="2" s="1"/>
  <c r="N72" i="2"/>
  <c r="M73" i="2"/>
  <c r="M74" i="2"/>
  <c r="M75" i="2"/>
  <c r="P75" i="2" s="1"/>
  <c r="M76" i="2"/>
  <c r="O76" i="2" s="1"/>
  <c r="M77" i="2"/>
  <c r="P77" i="2" s="1"/>
  <c r="M78" i="2"/>
  <c r="P78" i="2" s="1"/>
  <c r="M79" i="2"/>
  <c r="M72" i="2"/>
  <c r="L73" i="2"/>
  <c r="L74" i="2"/>
  <c r="L75" i="2"/>
  <c r="L76" i="2"/>
  <c r="L77" i="2"/>
  <c r="L78" i="2"/>
  <c r="L79" i="2"/>
  <c r="L72" i="2"/>
  <c r="K79" i="2"/>
  <c r="K78" i="2"/>
  <c r="K77" i="2"/>
  <c r="K76" i="2"/>
  <c r="K75" i="2"/>
  <c r="O74" i="2"/>
  <c r="K74" i="2"/>
  <c r="P73" i="2"/>
  <c r="K73" i="2"/>
  <c r="P72" i="2"/>
  <c r="O72" i="2"/>
  <c r="K72" i="2"/>
  <c r="P76" i="2" l="1"/>
  <c r="O75" i="2"/>
  <c r="O78" i="2"/>
  <c r="P74" i="2"/>
  <c r="O73" i="2"/>
  <c r="O77" i="2"/>
  <c r="O79" i="2"/>
  <c r="O33" i="2"/>
  <c r="L33" i="2"/>
  <c r="K33" i="2"/>
  <c r="N33" i="2" s="1"/>
  <c r="J33" i="2"/>
  <c r="M33" i="2" s="1"/>
  <c r="O32" i="2"/>
  <c r="N32" i="2"/>
  <c r="M32" i="2"/>
  <c r="L32" i="2"/>
  <c r="K32" i="2"/>
  <c r="J32" i="2"/>
  <c r="O31" i="2"/>
  <c r="L31" i="2"/>
  <c r="K31" i="2"/>
  <c r="N31" i="2" s="1"/>
  <c r="J31" i="2"/>
  <c r="M31" i="2" s="1"/>
  <c r="N30" i="2"/>
  <c r="L30" i="2"/>
  <c r="O30" i="2" s="1"/>
  <c r="K30" i="2"/>
  <c r="J30" i="2"/>
  <c r="M30" i="2" s="1"/>
  <c r="L29" i="2"/>
  <c r="O29" i="2" s="1"/>
  <c r="K29" i="2"/>
  <c r="N29" i="2" s="1"/>
  <c r="J29" i="2"/>
  <c r="M29" i="2" s="1"/>
  <c r="N28" i="2"/>
  <c r="L28" i="2"/>
  <c r="O28" i="2" s="1"/>
  <c r="K28" i="2"/>
  <c r="J28" i="2"/>
  <c r="M28" i="2" s="1"/>
  <c r="L27" i="2"/>
  <c r="O27" i="2" s="1"/>
  <c r="K27" i="2"/>
  <c r="N27" i="2" s="1"/>
  <c r="J27" i="2"/>
  <c r="M27" i="2" s="1"/>
  <c r="N26" i="2"/>
  <c r="L26" i="2"/>
  <c r="O26" i="2" s="1"/>
  <c r="K26" i="2"/>
  <c r="J26" i="2"/>
  <c r="M26" i="2" s="1"/>
  <c r="P31" i="2" l="1"/>
  <c r="P27" i="2"/>
  <c r="P33" i="2"/>
  <c r="P26" i="2"/>
  <c r="P30" i="2"/>
  <c r="P29" i="2"/>
  <c r="P28" i="2"/>
  <c r="P32" i="2"/>
  <c r="U31" i="2" l="1"/>
  <c r="T31" i="2"/>
  <c r="U33" i="2"/>
  <c r="T33" i="2"/>
  <c r="U26" i="2"/>
  <c r="T26" i="2"/>
  <c r="U29" i="2"/>
  <c r="T29" i="2"/>
  <c r="U28" i="2"/>
  <c r="T28" i="2"/>
  <c r="U32" i="2"/>
  <c r="T32" i="2"/>
  <c r="U30" i="2"/>
  <c r="T30" i="2"/>
  <c r="U27" i="2"/>
  <c r="T27" i="2"/>
  <c r="J73" i="1" l="1"/>
  <c r="J74" i="1"/>
  <c r="J75" i="1"/>
  <c r="J76" i="1"/>
  <c r="J77" i="1"/>
  <c r="J78" i="1"/>
  <c r="J79" i="1"/>
  <c r="J72" i="1"/>
  <c r="I73" i="1"/>
  <c r="I74" i="1"/>
  <c r="I75" i="1"/>
  <c r="I76" i="1"/>
  <c r="I77" i="1"/>
  <c r="I78" i="1"/>
  <c r="I79" i="1"/>
  <c r="I72" i="1"/>
  <c r="H73" i="1"/>
  <c r="H74" i="1"/>
  <c r="H75" i="1"/>
  <c r="H76" i="1"/>
  <c r="H77" i="1"/>
  <c r="H78" i="1"/>
  <c r="H79" i="1"/>
  <c r="H72" i="1"/>
  <c r="M73" i="3" l="1"/>
  <c r="M74" i="3"/>
  <c r="M75" i="3"/>
  <c r="M76" i="3"/>
  <c r="M77" i="3"/>
  <c r="N77" i="3" s="1"/>
  <c r="M78" i="3"/>
  <c r="M79" i="3"/>
  <c r="M72" i="3"/>
  <c r="L73" i="3"/>
  <c r="O73" i="3" s="1"/>
  <c r="L74" i="3"/>
  <c r="L75" i="3"/>
  <c r="L76" i="3"/>
  <c r="L77" i="3"/>
  <c r="O77" i="3" s="1"/>
  <c r="L78" i="3"/>
  <c r="L79" i="3"/>
  <c r="L72" i="3"/>
  <c r="O75" i="3"/>
  <c r="K73" i="3"/>
  <c r="K74" i="3"/>
  <c r="K75" i="3"/>
  <c r="K76" i="3"/>
  <c r="K77" i="3"/>
  <c r="K78" i="3"/>
  <c r="K79" i="3"/>
  <c r="K72" i="3"/>
  <c r="O79" i="3"/>
  <c r="G79" i="3"/>
  <c r="O78" i="3"/>
  <c r="G78" i="3"/>
  <c r="G77" i="3"/>
  <c r="O76" i="3"/>
  <c r="G76" i="3"/>
  <c r="G75" i="3"/>
  <c r="G74" i="3"/>
  <c r="N73" i="3"/>
  <c r="G73" i="3"/>
  <c r="O72" i="3"/>
  <c r="G72" i="3"/>
  <c r="Y32" i="3"/>
  <c r="X32" i="3"/>
  <c r="V32" i="3"/>
  <c r="U32" i="3"/>
  <c r="T32" i="3"/>
  <c r="W32" i="3" s="1"/>
  <c r="S32" i="3"/>
  <c r="V31" i="3"/>
  <c r="Y31" i="3" s="1"/>
  <c r="U31" i="3"/>
  <c r="X31" i="3" s="1"/>
  <c r="T31" i="3"/>
  <c r="W31" i="3" s="1"/>
  <c r="S31" i="3"/>
  <c r="Y30" i="3"/>
  <c r="X30" i="3"/>
  <c r="V30" i="3"/>
  <c r="U30" i="3"/>
  <c r="T30" i="3"/>
  <c r="W30" i="3" s="1"/>
  <c r="Z30" i="3" s="1"/>
  <c r="S30" i="3"/>
  <c r="V29" i="3"/>
  <c r="Y29" i="3" s="1"/>
  <c r="AC29" i="3" s="1"/>
  <c r="U29" i="3"/>
  <c r="X29" i="3" s="1"/>
  <c r="AB29" i="3" s="1"/>
  <c r="T29" i="3"/>
  <c r="W29" i="3" s="1"/>
  <c r="S29" i="3"/>
  <c r="Y28" i="3"/>
  <c r="X28" i="3"/>
  <c r="V28" i="3"/>
  <c r="U28" i="3"/>
  <c r="T28" i="3"/>
  <c r="W28" i="3" s="1"/>
  <c r="S28" i="3"/>
  <c r="V27" i="3"/>
  <c r="Y27" i="3" s="1"/>
  <c r="AC27" i="3" s="1"/>
  <c r="U27" i="3"/>
  <c r="X27" i="3" s="1"/>
  <c r="AB27" i="3" s="1"/>
  <c r="T27" i="3"/>
  <c r="W27" i="3" s="1"/>
  <c r="Z27" i="3" s="1"/>
  <c r="AD27" i="3" s="1"/>
  <c r="S27" i="3"/>
  <c r="Y26" i="3"/>
  <c r="X26" i="3"/>
  <c r="V26" i="3"/>
  <c r="U26" i="3"/>
  <c r="T26" i="3"/>
  <c r="W26" i="3" s="1"/>
  <c r="Z26" i="3" s="1"/>
  <c r="S26" i="3"/>
  <c r="V25" i="3"/>
  <c r="Y25" i="3" s="1"/>
  <c r="U25" i="3"/>
  <c r="X25" i="3" s="1"/>
  <c r="T25" i="3"/>
  <c r="W25" i="3" s="1"/>
  <c r="Z25" i="3" s="1"/>
  <c r="AD25" i="3" s="1"/>
  <c r="S25" i="3"/>
  <c r="AA25" i="3" s="1"/>
  <c r="Z28" i="3" l="1"/>
  <c r="AD28" i="3" s="1"/>
  <c r="AD30" i="3"/>
  <c r="AB31" i="3"/>
  <c r="AC31" i="3"/>
  <c r="AB25" i="3"/>
  <c r="Z32" i="3"/>
  <c r="AC25" i="3"/>
  <c r="O74" i="3"/>
  <c r="N75" i="3"/>
  <c r="N79" i="3"/>
  <c r="N74" i="3"/>
  <c r="N78" i="3"/>
  <c r="N72" i="3"/>
  <c r="N76" i="3"/>
  <c r="AA27" i="3"/>
  <c r="AD32" i="3"/>
  <c r="AD26" i="3"/>
  <c r="AA29" i="3"/>
  <c r="Z29" i="3"/>
  <c r="AD29" i="3" s="1"/>
  <c r="AA31" i="3"/>
  <c r="Z31" i="3"/>
  <c r="AD31" i="3" s="1"/>
  <c r="AA26" i="3"/>
  <c r="AA28" i="3"/>
  <c r="AA30" i="3"/>
  <c r="AA32" i="3"/>
  <c r="AB26" i="3"/>
  <c r="AB28" i="3"/>
  <c r="AB30" i="3"/>
  <c r="AB32" i="3"/>
  <c r="AC26" i="3"/>
  <c r="AC28" i="3"/>
  <c r="AC30" i="3"/>
  <c r="AC32" i="3"/>
  <c r="K26" i="1"/>
  <c r="N26" i="1" s="1"/>
  <c r="L79" i="1"/>
  <c r="G79" i="1"/>
  <c r="L78" i="1"/>
  <c r="G78" i="1"/>
  <c r="L77" i="1"/>
  <c r="K77" i="1"/>
  <c r="G77" i="1"/>
  <c r="K76" i="1"/>
  <c r="L76" i="1"/>
  <c r="G76" i="1"/>
  <c r="L75" i="1"/>
  <c r="G75" i="1"/>
  <c r="L74" i="1"/>
  <c r="K74" i="1"/>
  <c r="G74" i="1"/>
  <c r="L73" i="1"/>
  <c r="K73" i="1"/>
  <c r="G73" i="1"/>
  <c r="K72" i="1"/>
  <c r="L72" i="1"/>
  <c r="G72" i="1"/>
  <c r="M33" i="1"/>
  <c r="P33" i="1" s="1"/>
  <c r="L33" i="1"/>
  <c r="O33" i="1" s="1"/>
  <c r="K33" i="1"/>
  <c r="N33" i="1" s="1"/>
  <c r="Q33" i="1" s="1"/>
  <c r="J33" i="1"/>
  <c r="M32" i="1"/>
  <c r="P32" i="1" s="1"/>
  <c r="L32" i="1"/>
  <c r="O32" i="1" s="1"/>
  <c r="K32" i="1"/>
  <c r="N32" i="1" s="1"/>
  <c r="J32" i="1"/>
  <c r="M31" i="1"/>
  <c r="P31" i="1" s="1"/>
  <c r="L31" i="1"/>
  <c r="O31" i="1" s="1"/>
  <c r="K31" i="1"/>
  <c r="N31" i="1" s="1"/>
  <c r="J31" i="1"/>
  <c r="M30" i="1"/>
  <c r="P30" i="1" s="1"/>
  <c r="L30" i="1"/>
  <c r="O30" i="1" s="1"/>
  <c r="K30" i="1"/>
  <c r="N30" i="1" s="1"/>
  <c r="Q30" i="1" s="1"/>
  <c r="J30" i="1"/>
  <c r="M29" i="1"/>
  <c r="P29" i="1" s="1"/>
  <c r="L29" i="1"/>
  <c r="O29" i="1" s="1"/>
  <c r="K29" i="1"/>
  <c r="N29" i="1" s="1"/>
  <c r="Q29" i="1" s="1"/>
  <c r="J29" i="1"/>
  <c r="O28" i="1"/>
  <c r="N28" i="1"/>
  <c r="M28" i="1"/>
  <c r="P28" i="1" s="1"/>
  <c r="L28" i="1"/>
  <c r="K28" i="1"/>
  <c r="J28" i="1"/>
  <c r="M27" i="1"/>
  <c r="P27" i="1" s="1"/>
  <c r="L27" i="1"/>
  <c r="O27" i="1" s="1"/>
  <c r="K27" i="1"/>
  <c r="N27" i="1" s="1"/>
  <c r="J27" i="1"/>
  <c r="O26" i="1"/>
  <c r="M26" i="1"/>
  <c r="P26" i="1" s="1"/>
  <c r="L26" i="1"/>
  <c r="J26" i="1"/>
  <c r="Q31" i="1" l="1"/>
  <c r="K75" i="1"/>
  <c r="K79" i="1"/>
  <c r="K78" i="1"/>
  <c r="Q26" i="1"/>
  <c r="U26" i="1"/>
  <c r="Q28" i="1"/>
  <c r="Q32" i="1"/>
  <c r="Q27" i="1"/>
  <c r="U33" i="1" l="1"/>
  <c r="U31" i="1"/>
  <c r="U29" i="1"/>
  <c r="U32" i="1"/>
  <c r="U27" i="1"/>
  <c r="U30" i="1"/>
  <c r="U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Susanne Hansen Troøyen</author>
  </authors>
  <commentList>
    <comment ref="E1" authorId="0" shapeId="0" xr:uid="{3321D9C4-ACBE-4A77-ABEB-FB8AD50960C3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8C4296B7-90F5-4F05-85D3-049C6C5021F3}">
      <text>
        <r>
          <rPr>
            <b/>
            <sz val="9"/>
            <color indexed="81"/>
            <rFont val="Tahoma"/>
            <family val="2"/>
          </rPr>
          <t xml:space="preserve">EHC, V_3.22_12/10_Infinite (Dec 14 2010/13.07.14)
MTP, V_3.22_12/10_Infinite (Dec 14 2010/13.07.14)
CUV,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  <comment ref="E42" authorId="0" shapeId="0" xr:uid="{DFA0DB02-07F6-488B-996F-6347CA23FAF6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44" authorId="0" shapeId="0" xr:uid="{5B81B75B-858E-4378-BFFD-6B192EC43C10}">
      <text>
        <r>
          <rPr>
            <b/>
            <sz val="9"/>
            <color indexed="81"/>
            <rFont val="Tahoma"/>
            <family val="2"/>
          </rPr>
          <t xml:space="preserve">EHC, V_3.22_12/10_Infinite (Dec 14 2010/13.07.14)
MTP, V_3.22_12/10_Infinite (Dec 14 2010/13.07.14)
CUV,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Susanne Hansen Troøyen</author>
  </authors>
  <commentList>
    <comment ref="E1" authorId="0" shapeId="0" xr:uid="{215F93AD-C70E-42C7-AABE-CFAF7062CB2E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1711CCFE-0B8F-48E9-AB85-AC5C3BACFB63}">
      <text>
        <r>
          <rPr>
            <b/>
            <sz val="9"/>
            <color indexed="81"/>
            <rFont val="Tahoma"/>
            <charset val="1"/>
          </rPr>
          <t xml:space="preserve">EHC, V_3.22_12/10_Infinite (Dec 14 2010/13.07.14)
MTP, V_3.22_12/10_Infinite (Dec 14 2010/13.07.14)
CUV,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  <comment ref="E42" authorId="0" shapeId="0" xr:uid="{4738684A-FA02-4F18-8FCE-EA0078629B15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44" authorId="0" shapeId="0" xr:uid="{6B897E83-66A4-499D-A5D6-8C1D626E7F99}">
      <text>
        <r>
          <rPr>
            <b/>
            <sz val="9"/>
            <color indexed="81"/>
            <rFont val="Tahoma"/>
            <charset val="1"/>
          </rPr>
          <t xml:space="preserve">EHC, V_3.22_12/10_Infinite (Dec 14 2010/13.07.14)
MTP, V_3.22_12/10_Infinite (Dec 14 2010/13.07.14)
CUV,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Susanne Hansen Troøyen</author>
  </authors>
  <commentList>
    <comment ref="E1" authorId="0" shapeId="0" xr:uid="{18FC6F0A-BCB9-46CB-AB7C-5D477AC6C961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33E9F558-2350-43F3-B911-984B293F8356}">
      <text>
        <r>
          <rPr>
            <b/>
            <sz val="9"/>
            <color indexed="81"/>
            <rFont val="Tahoma"/>
            <family val="2"/>
          </rPr>
          <t xml:space="preserve">EHC, V_3.22_12/10_Infinite (Dec 14 2010/13.07.14)
MTP, V_3.22_12/10_Infinite (Dec 14 2010/13.07.14)
CUV,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  <comment ref="E42" authorId="0" shapeId="0" xr:uid="{9715B763-3379-4A8D-A2D9-7F1398E305AC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44" authorId="0" shapeId="0" xr:uid="{6DA7D35B-726C-4238-B3BD-206FC6CD5880}">
      <text>
        <r>
          <rPr>
            <b/>
            <sz val="9"/>
            <color indexed="81"/>
            <rFont val="Tahoma"/>
            <family val="2"/>
          </rPr>
          <t xml:space="preserve">EHC, V_3.22_12/10_Infinite (Dec 14 2010/13.07.14)
MTP, V_3.22_12/10_Infinite (Dec 14 2010/13.07.14)
CUV,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Susanne Hansen Troøyen</author>
  </authors>
  <commentList>
    <comment ref="E2" authorId="0" shapeId="0" xr:uid="{0D52FD98-9400-473B-B961-8DACD8B7F909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4" authorId="0" shapeId="0" xr:uid="{BF917EB7-C190-47FC-B711-0BF602DCBC68}">
      <text>
        <r>
          <rPr>
            <b/>
            <sz val="9"/>
            <color indexed="81"/>
            <rFont val="Tahoma"/>
            <charset val="1"/>
          </rPr>
          <t xml:space="preserve">EHC, V_3.22_12/10_Infinite (Dec 14 2010/13.07.14)
MTP, V_3.22_12/10_Infinite (Dec 14 2010/13.07.14)
CUV,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<sst xmlns="http://schemas.openxmlformats.org/spreadsheetml/2006/main" count="1191" uniqueCount="234">
  <si>
    <t>Application: Tecan i-control</t>
  </si>
  <si>
    <t>Tecan i-control , 2.0.10.0</t>
  </si>
  <si>
    <t>Device: infinite 200Pro</t>
  </si>
  <si>
    <t>Serial number: 1111001422</t>
  </si>
  <si>
    <t>Serial number of connected stacker:</t>
  </si>
  <si>
    <t>Firmware: V_3.22_12/10_Infinite (Dec 14 2010/13.07.14)</t>
  </si>
  <si>
    <t>MAI, V_3.22_12/10_Infinite (Dec 14 2010/13.07.14)</t>
  </si>
  <si>
    <t>Date:</t>
  </si>
  <si>
    <t>09.11.2022</t>
  </si>
  <si>
    <t>Time:</t>
  </si>
  <si>
    <t>17:19:41</t>
  </si>
  <si>
    <t>System</t>
  </si>
  <si>
    <t>NTNU06826</t>
  </si>
  <si>
    <t>User</t>
  </si>
  <si>
    <t>WIN-NTNU-NO\susanntr</t>
  </si>
  <si>
    <t>Plate</t>
  </si>
  <si>
    <t>Corning 96 Flat Bottom Transparent Polystyrene Cat. No.: 3635 [COR96fc UV transparent.pdfx]</t>
  </si>
  <si>
    <t>Plate-ID (Stacker)</t>
  </si>
  <si>
    <t>Label: Label1</t>
  </si>
  <si>
    <t>Mode</t>
  </si>
  <si>
    <t>Absorbance</t>
  </si>
  <si>
    <t>Measurement Wavelength</t>
  </si>
  <si>
    <t>nm</t>
  </si>
  <si>
    <t>Bandwidth</t>
  </si>
  <si>
    <t>Number of Flashes</t>
  </si>
  <si>
    <t>a</t>
  </si>
  <si>
    <t>b</t>
  </si>
  <si>
    <t>Settle Time</t>
  </si>
  <si>
    <t>ms</t>
  </si>
  <si>
    <t>Equation:</t>
  </si>
  <si>
    <t>Part of Plate</t>
  </si>
  <si>
    <t>A10-H12</t>
  </si>
  <si>
    <t>Start Time:</t>
  </si>
  <si>
    <t>09.11.2022 17:19:41</t>
  </si>
  <si>
    <t>Temperature: 21.3 °C</t>
  </si>
  <si>
    <t>&lt;&gt;</t>
  </si>
  <si>
    <t>Conc ScCBM2 (nM)</t>
  </si>
  <si>
    <t>ScCBM2 (uM)</t>
  </si>
  <si>
    <t>P_free_10</t>
  </si>
  <si>
    <t>P_free_11</t>
  </si>
  <si>
    <t>P_free_12</t>
  </si>
  <si>
    <t>P_free_avg</t>
  </si>
  <si>
    <t>P_bound_10</t>
  </si>
  <si>
    <t>P_bound_11</t>
  </si>
  <si>
    <t>P_bound_12</t>
  </si>
  <si>
    <t>P_bound_avg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</si>
  <si>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</si>
  <si>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</si>
  <si>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</si>
  <si>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</si>
  <si>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</si>
  <si>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</si>
  <si>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</si>
  <si>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</si>
  <si>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</si>
  <si>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09.11.2022 17:20:06</t>
  </si>
  <si>
    <t>Standard curve</t>
  </si>
  <si>
    <t>15:44:12</t>
  </si>
  <si>
    <t>Shaking (Linear) Duration:</t>
  </si>
  <si>
    <t>s</t>
  </si>
  <si>
    <t>Shaking (Linear) Amplitude:</t>
  </si>
  <si>
    <t>mm</t>
  </si>
  <si>
    <t>Wait (Time)</t>
  </si>
  <si>
    <t>A1-H3</t>
  </si>
  <si>
    <t>09.11.2022 15:46:17</t>
  </si>
  <si>
    <t>Temperature: 20.7 °C</t>
  </si>
  <si>
    <t>Avg</t>
  </si>
  <si>
    <t>Std_dev</t>
  </si>
  <si>
    <t>09.11.2022 15:46:41</t>
  </si>
  <si>
    <t>Corrected absorbance</t>
  </si>
  <si>
    <t>02.11.2022</t>
  </si>
  <si>
    <t>15:20:53</t>
  </si>
  <si>
    <t>A7-H9</t>
  </si>
  <si>
    <t>02.11.2022 15:20:53</t>
  </si>
  <si>
    <t>Temperature: 23.5 °C</t>
  </si>
  <si>
    <t>Conc (uM)</t>
  </si>
  <si>
    <t>P_free_7</t>
  </si>
  <si>
    <t>P_free_8</t>
  </si>
  <si>
    <t>P_free_9</t>
  </si>
  <si>
    <t>P_free avg</t>
  </si>
  <si>
    <t>P_bound_7</t>
  </si>
  <si>
    <t>P_bound_8</t>
  </si>
  <si>
    <t>P_bound_9</t>
  </si>
  <si>
    <t>02.11.2022 15:21:17</t>
  </si>
  <si>
    <t>31.10.2022</t>
  </si>
  <si>
    <t>10:34:44</t>
  </si>
  <si>
    <t>31.10.2022 10:35:49</t>
  </si>
  <si>
    <t>Temperature: 19.4 °C</t>
  </si>
  <si>
    <t>measured abs</t>
  </si>
  <si>
    <t>actual abs</t>
  </si>
  <si>
    <t>uM</t>
  </si>
  <si>
    <t>Standard dev</t>
  </si>
  <si>
    <t>31.10.2022 10:36:13</t>
  </si>
  <si>
    <t>23.11.2022</t>
  </si>
  <si>
    <t>16:14:57</t>
  </si>
  <si>
    <t>A7-H12</t>
  </si>
  <si>
    <t>23.11.2022 16:14:57</t>
  </si>
  <si>
    <t>ACTUAL ABSORBANCE</t>
  </si>
  <si>
    <t>Temperature: 20.6 °C</t>
  </si>
  <si>
    <t>CNC</t>
  </si>
  <si>
    <t>conc (uM)</t>
  </si>
  <si>
    <t>Pbound/Pfree</t>
  </si>
  <si>
    <t>23.11.2022 16:15:40</t>
  </si>
  <si>
    <t>14:14:54</t>
  </si>
  <si>
    <t>A4-H6</t>
  </si>
  <si>
    <t>23.11.2022 14:16:00</t>
  </si>
  <si>
    <t>Temperature: 20 °C</t>
  </si>
  <si>
    <t>std dev</t>
  </si>
  <si>
    <t>23.11.2022 14:16:24</t>
  </si>
  <si>
    <t>Conc substrate</t>
  </si>
  <si>
    <t>g/L</t>
  </si>
  <si>
    <t>Vol</t>
  </si>
  <si>
    <t>uL</t>
  </si>
  <si>
    <t>L</t>
  </si>
  <si>
    <t>mass substrate</t>
  </si>
  <si>
    <t>g</t>
  </si>
  <si>
    <t>Bound (umol/g CNF)</t>
  </si>
  <si>
    <t>15.01.2024</t>
  </si>
  <si>
    <t>14:41:03</t>
  </si>
  <si>
    <t>Greiner 96 Flat Bottom Black Polystyrene Cat. No.: 655079/655086/655077/655076   [GRE96fb_chimney.pdfx]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</si>
  <si>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</si>
  <si>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</si>
  <si>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</si>
  <si>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</si>
  <si>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</si>
  <si>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</si>
  <si>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Optimal (100%)</t>
  </si>
  <si>
    <t>Integration Time</t>
  </si>
  <si>
    <t>µs</t>
  </si>
  <si>
    <t>Lag Time</t>
  </si>
  <si>
    <t>Z-Position (Manual)</t>
  </si>
  <si>
    <t>µm</t>
  </si>
  <si>
    <t>E1-H12</t>
  </si>
  <si>
    <t>15.01.2024 14:41:45</t>
  </si>
  <si>
    <t>Temperature: 19.2 °C</t>
  </si>
  <si>
    <t>15.01.2024 14:42:47</t>
  </si>
  <si>
    <t>Measurement parameters</t>
  </si>
  <si>
    <t>~~~</t>
  </si>
  <si>
    <t>infinite 200Pro</t>
  </si>
  <si>
    <t>Instrument serial number: 1111001422</t>
  </si>
  <si>
    <t>Plate Description: [COS96fb] - Corning 96 Flat Black</t>
  </si>
  <si>
    <t>Plate with Cover: No</t>
  </si>
  <si>
    <t>Barcode: No</t>
  </si>
  <si>
    <t xml:space="preserve">  Part of Plate</t>
  </si>
  <si>
    <t xml:space="preserve">    Fluorescence Intensity</t>
  </si>
  <si>
    <t xml:space="preserve">    Excitation Wavelength: 450 nm</t>
  </si>
  <si>
    <t xml:space="preserve">    Excitation Bandwidth: 9 nm</t>
  </si>
  <si>
    <t xml:space="preserve">    Emission Wavelength: 510 nm</t>
  </si>
  <si>
    <t xml:space="preserve">    Emission Bandwidth: 20 nm</t>
  </si>
  <si>
    <t xml:space="preserve">    ReadingMode: Top</t>
  </si>
  <si>
    <t xml:space="preserve">    Lag Time: 0 μs</t>
  </si>
  <si>
    <t xml:space="preserve">    Integration Time: 20 μs</t>
  </si>
  <si>
    <t xml:space="preserve">    Number of Reads: 25</t>
  </si>
  <si>
    <t xml:space="preserve">    Settle Time: 0 ms</t>
  </si>
  <si>
    <t xml:space="preserve">    Gain: Manual</t>
  </si>
  <si>
    <t xml:space="preserve">    Z-Position: Manual</t>
  </si>
  <si>
    <t xml:space="preserve">    Z-Position height: 20000 μm</t>
  </si>
  <si>
    <t xml:space="preserve">    Label: Label1</t>
  </si>
  <si>
    <t>std</t>
  </si>
  <si>
    <t>H71W</t>
  </si>
  <si>
    <t>conc</t>
  </si>
  <si>
    <t/>
  </si>
  <si>
    <t>Plate Description: [COR96fc UV transparent] - Corning 96 Flat clear</t>
  </si>
  <si>
    <t xml:space="preserve">  Range: A1:H1</t>
  </si>
  <si>
    <t xml:space="preserve">    Temperature</t>
  </si>
  <si>
    <t xml:space="preserve">    Mode: On</t>
  </si>
  <si>
    <t xml:space="preserve">    Temperature: 22,0 °C</t>
  </si>
  <si>
    <t xml:space="preserve">    Absorbance</t>
  </si>
  <si>
    <t xml:space="preserve">    Measurement Wavelength: 280 nm</t>
  </si>
  <si>
    <t xml:space="preserve">    Measurement Bandwidth: 5 nm</t>
  </si>
  <si>
    <t>Meas. temperature: Raw data: 23.0 °C</t>
  </si>
  <si>
    <t>Date: 2026-03-27, Time: 13:24:05</t>
  </si>
  <si>
    <t xml:space="preserve">  Range: A2:H4</t>
  </si>
  <si>
    <t>Meas. temperature: Raw data: 22.9 °C</t>
  </si>
  <si>
    <t>Date: 2026-03-27, Time: 16:09:33</t>
  </si>
  <si>
    <t>Sc1</t>
  </si>
  <si>
    <t>Sc2</t>
  </si>
  <si>
    <t>Sc3</t>
  </si>
  <si>
    <t>Ba1</t>
  </si>
  <si>
    <t>Ba2</t>
  </si>
  <si>
    <t>Ba3</t>
  </si>
  <si>
    <t xml:space="preserve">  Range: C1:H10</t>
  </si>
  <si>
    <t>Meas. temperature: Raw data: 26.0 °C</t>
  </si>
  <si>
    <t>Date: 2026-03-18, Time: 13:04:10</t>
  </si>
  <si>
    <t xml:space="preserve">  Range: A1:F10</t>
  </si>
  <si>
    <t>Meas. temperature: Raw data: 25.9 °C</t>
  </si>
  <si>
    <t>Date: 2026-03-18, Time: 13:09:51</t>
  </si>
  <si>
    <t>(filter plate binding test)</t>
  </si>
  <si>
    <t xml:space="preserve">10 uM </t>
  </si>
  <si>
    <t>10 uM</t>
  </si>
  <si>
    <t xml:space="preserve">filtered </t>
  </si>
  <si>
    <t>not filtered</t>
  </si>
  <si>
    <t>Sc</t>
  </si>
  <si>
    <t>Ba</t>
  </si>
  <si>
    <t>ScCBM2</t>
  </si>
  <si>
    <t>BaCBM2</t>
  </si>
  <si>
    <t xml:space="preserve">  Range: A1:B10</t>
  </si>
  <si>
    <t xml:space="preserve">    Wait for Temperature</t>
  </si>
  <si>
    <t xml:space="preserve">    Minimum Temperature: 21,5 °C</t>
  </si>
  <si>
    <t xml:space="preserve">    Maximum Temperature: 22,5 °C</t>
  </si>
  <si>
    <t>Meas. temperature: Raw data: 21.5 °C</t>
  </si>
  <si>
    <t>Date: 2026-03-16, Time: 12:40:48</t>
  </si>
  <si>
    <t>Standard curve (both chitin substrates)</t>
  </si>
  <si>
    <t>WT</t>
  </si>
  <si>
    <t xml:space="preserve">  Range: A2:H5</t>
  </si>
  <si>
    <t xml:space="preserve">    Maximum Temperature: 24,0 °C</t>
  </si>
  <si>
    <t xml:space="preserve">    Shaking</t>
  </si>
  <si>
    <t xml:space="preserve">    Duration: 2 sec</t>
  </si>
  <si>
    <t xml:space="preserve">    Mode: Linear</t>
  </si>
  <si>
    <t xml:space="preserve">    Amplitude: 1 mm</t>
  </si>
  <si>
    <t xml:space="preserve">    Frequency: 886,9 rpm</t>
  </si>
  <si>
    <t xml:space="preserve">    Number of Reads: 28</t>
  </si>
  <si>
    <t xml:space="preserve">    Gain Value: 85</t>
  </si>
  <si>
    <t xml:space="preserve">    Label: Label2</t>
  </si>
  <si>
    <t>Meas. temperature: Raw data: 23.7 °C</t>
  </si>
  <si>
    <t>Date: 2026-04-05, Time: 16:37:07</t>
  </si>
  <si>
    <t>HEPES buffer 60 degrees</t>
  </si>
  <si>
    <t>Sodium phosphate buffer 60 degrees</t>
  </si>
  <si>
    <t>E12T std</t>
  </si>
  <si>
    <t>E12T</t>
  </si>
  <si>
    <t>H71W std</t>
  </si>
  <si>
    <t>Label 1</t>
  </si>
  <si>
    <t xml:space="preserve">  Range: A1:H6</t>
  </si>
  <si>
    <t xml:space="preserve">    Multiple reads per well type: FilledSquare</t>
  </si>
  <si>
    <t xml:space="preserve">    Multiple reads per well size: 2 x 2</t>
  </si>
  <si>
    <t xml:space="preserve">    Border: 750 μm</t>
  </si>
  <si>
    <t>Meas. temperature: Label2: 21.4 °C</t>
  </si>
  <si>
    <t>Meas. temperature: Label1: 22.9 °C</t>
  </si>
  <si>
    <t>Date: 2026-04-08, Time: 17:09:33</t>
  </si>
  <si>
    <t>E12T-H71W</t>
  </si>
  <si>
    <t xml:space="preserve">  Range: A1:H9</t>
  </si>
  <si>
    <t>Meas. temperature: Label2: 22.6 °C</t>
  </si>
  <si>
    <t>Meas. temperature: Label1: 22.3 °C</t>
  </si>
  <si>
    <t>Date: 2026-04-08, Time: 18:04:56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</si>
</sst>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"/>
    <numFmt numFmtId="166" formatCode="0.000"/>
    <numFmt numFmtId="167" formatCode="0.00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sz val="11"/>
      <color rgb="FFFF33CC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E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3FF"/>
        <bgColor indexed="64"/>
      </patternFill>
    </fill>
    <fill>
      <patternFill patternType="solid">
        <fgColor rgb="FFFFD9FF"/>
        <bgColor indexed="64"/>
      </patternFill>
    </fill>
    <fill>
      <patternFill patternType="solid">
        <fgColor rgb="FFE1FFFF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/>
      <bottom/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/>
      <top/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 style="thin">
        <color theme="9"/>
      </left>
      <right/>
      <top style="thin">
        <color indexed="64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quotePrefix="1"/>
    <xf numFmtId="0" fontId="2" fillId="2" borderId="0" xfId="0" applyFont="1" applyFill="1"/>
    <xf numFmtId="0" fontId="1" fillId="0" borderId="0" xfId="0" applyFont="1"/>
    <xf numFmtId="0" fontId="0" fillId="8" borderId="0" xfId="0" applyFill="1"/>
    <xf numFmtId="21" fontId="0" fillId="8" borderId="0" xfId="0" applyNumberFormat="1" applyFill="1"/>
    <xf numFmtId="0" fontId="1" fillId="9" borderId="0" xfId="0" applyFont="1" applyFill="1"/>
    <xf numFmtId="0" fontId="0" fillId="9" borderId="0" xfId="0" applyFill="1"/>
    <xf numFmtId="0" fontId="2" fillId="0" borderId="0" xfId="0" applyFont="1"/>
    <xf numFmtId="49" fontId="0" fillId="0" borderId="0" xfId="0" applyNumberFormat="1"/>
    <xf numFmtId="0" fontId="0" fillId="13" borderId="0" xfId="0" applyFill="1"/>
    <xf numFmtId="0" fontId="1" fillId="13" borderId="0" xfId="0" applyFont="1" applyFill="1"/>
    <xf numFmtId="0" fontId="5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7" fillId="0" borderId="6" xfId="0" applyFont="1" applyBorder="1" applyAlignment="1">
      <alignment horizontal="center"/>
    </xf>
    <xf numFmtId="0" fontId="8" fillId="0" borderId="13" xfId="0" applyFont="1" applyBorder="1"/>
    <xf numFmtId="0" fontId="8" fillId="0" borderId="0" xfId="0" applyFont="1" applyBorder="1"/>
    <xf numFmtId="0" fontId="7" fillId="2" borderId="0" xfId="0" applyFont="1" applyFill="1" applyBorder="1"/>
    <xf numFmtId="0" fontId="7" fillId="10" borderId="0" xfId="0" applyFont="1" applyFill="1" applyBorder="1"/>
    <xf numFmtId="0" fontId="7" fillId="11" borderId="0" xfId="0" applyFont="1" applyFill="1" applyBorder="1"/>
    <xf numFmtId="0" fontId="7" fillId="12" borderId="0" xfId="0" applyFont="1" applyFill="1" applyBorder="1"/>
    <xf numFmtId="0" fontId="7" fillId="6" borderId="9" xfId="0" applyFont="1" applyFill="1" applyBorder="1"/>
    <xf numFmtId="0" fontId="7" fillId="7" borderId="8" xfId="0" applyFont="1" applyFill="1" applyBorder="1"/>
    <xf numFmtId="165" fontId="7" fillId="10" borderId="0" xfId="0" applyNumberFormat="1" applyFont="1" applyFill="1" applyBorder="1"/>
    <xf numFmtId="165" fontId="7" fillId="11" borderId="0" xfId="0" applyNumberFormat="1" applyFont="1" applyFill="1" applyBorder="1"/>
    <xf numFmtId="165" fontId="7" fillId="12" borderId="0" xfId="0" applyNumberFormat="1" applyFont="1" applyFill="1" applyBorder="1"/>
    <xf numFmtId="165" fontId="7" fillId="6" borderId="9" xfId="0" applyNumberFormat="1" applyFont="1" applyFill="1" applyBorder="1"/>
    <xf numFmtId="0" fontId="7" fillId="7" borderId="10" xfId="0" applyFont="1" applyFill="1" applyBorder="1"/>
    <xf numFmtId="165" fontId="7" fillId="10" borderId="11" xfId="0" applyNumberFormat="1" applyFont="1" applyFill="1" applyBorder="1"/>
    <xf numFmtId="165" fontId="7" fillId="11" borderId="11" xfId="0" applyNumberFormat="1" applyFont="1" applyFill="1" applyBorder="1"/>
    <xf numFmtId="165" fontId="7" fillId="12" borderId="11" xfId="0" applyNumberFormat="1" applyFont="1" applyFill="1" applyBorder="1"/>
    <xf numFmtId="165" fontId="7" fillId="6" borderId="12" xfId="0" applyNumberFormat="1" applyFont="1" applyFill="1" applyBorder="1"/>
    <xf numFmtId="0" fontId="8" fillId="10" borderId="6" xfId="0" applyFont="1" applyFill="1" applyBorder="1" applyAlignment="1">
      <alignment horizontal="center"/>
    </xf>
    <xf numFmtId="1" fontId="7" fillId="0" borderId="8" xfId="0" applyNumberFormat="1" applyFont="1" applyBorder="1"/>
    <xf numFmtId="166" fontId="7" fillId="0" borderId="0" xfId="0" applyNumberFormat="1" applyFont="1" applyBorder="1"/>
    <xf numFmtId="167" fontId="7" fillId="0" borderId="0" xfId="0" applyNumberFormat="1" applyFont="1" applyBorder="1"/>
    <xf numFmtId="165" fontId="7" fillId="0" borderId="9" xfId="0" applyNumberFormat="1" applyFont="1" applyBorder="1"/>
    <xf numFmtId="1" fontId="7" fillId="0" borderId="10" xfId="0" applyNumberFormat="1" applyFont="1" applyBorder="1"/>
    <xf numFmtId="166" fontId="7" fillId="0" borderId="11" xfId="0" applyNumberFormat="1" applyFont="1" applyBorder="1"/>
    <xf numFmtId="0" fontId="7" fillId="10" borderId="11" xfId="0" applyFont="1" applyFill="1" applyBorder="1"/>
    <xf numFmtId="167" fontId="7" fillId="0" borderId="11" xfId="0" applyNumberFormat="1" applyFont="1" applyBorder="1"/>
    <xf numFmtId="165" fontId="7" fillId="0" borderId="12" xfId="0" applyNumberFormat="1" applyFont="1" applyBorder="1"/>
    <xf numFmtId="0" fontId="7" fillId="0" borderId="0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8" fillId="0" borderId="8" xfId="0" applyFont="1" applyBorder="1"/>
    <xf numFmtId="0" fontId="8" fillId="3" borderId="0" xfId="0" applyFont="1" applyFill="1" applyBorder="1"/>
    <xf numFmtId="0" fontId="8" fillId="4" borderId="0" xfId="0" applyFont="1" applyFill="1" applyBorder="1"/>
    <xf numFmtId="0" fontId="8" fillId="5" borderId="0" xfId="0" applyFont="1" applyFill="1" applyBorder="1"/>
    <xf numFmtId="0" fontId="8" fillId="6" borderId="9" xfId="0" applyFont="1" applyFill="1" applyBorder="1"/>
    <xf numFmtId="0" fontId="7" fillId="3" borderId="0" xfId="0" applyFont="1" applyFill="1" applyBorder="1"/>
    <xf numFmtId="0" fontId="7" fillId="4" borderId="0" xfId="0" applyFont="1" applyFill="1" applyBorder="1"/>
    <xf numFmtId="0" fontId="7" fillId="5" borderId="0" xfId="0" applyFont="1" applyFill="1" applyBorder="1"/>
    <xf numFmtId="0" fontId="7" fillId="3" borderId="11" xfId="0" applyFont="1" applyFill="1" applyBorder="1"/>
    <xf numFmtId="0" fontId="7" fillId="4" borderId="11" xfId="0" applyFont="1" applyFill="1" applyBorder="1"/>
    <xf numFmtId="0" fontId="7" fillId="5" borderId="11" xfId="0" applyFont="1" applyFill="1" applyBorder="1"/>
    <xf numFmtId="0" fontId="7" fillId="6" borderId="12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64" fontId="7" fillId="0" borderId="0" xfId="0" applyNumberFormat="1" applyFont="1" applyBorder="1"/>
    <xf numFmtId="164" fontId="7" fillId="0" borderId="11" xfId="0" applyNumberFormat="1" applyFont="1" applyBorder="1"/>
    <xf numFmtId="0" fontId="8" fillId="6" borderId="0" xfId="0" applyFont="1" applyFill="1" applyBorder="1"/>
    <xf numFmtId="0" fontId="8" fillId="5" borderId="9" xfId="0" applyFont="1" applyFill="1" applyBorder="1"/>
    <xf numFmtId="0" fontId="7" fillId="6" borderId="0" xfId="0" applyFont="1" applyFill="1" applyBorder="1"/>
    <xf numFmtId="0" fontId="7" fillId="6" borderId="11" xfId="0" applyFont="1" applyFill="1" applyBorder="1"/>
    <xf numFmtId="0" fontId="0" fillId="0" borderId="11" xfId="0" applyBorder="1"/>
    <xf numFmtId="0" fontId="6" fillId="0" borderId="1" xfId="0" applyFont="1" applyBorder="1"/>
    <xf numFmtId="0" fontId="6" fillId="0" borderId="3" xfId="0" applyFont="1" applyBorder="1"/>
    <xf numFmtId="0" fontId="6" fillId="0" borderId="2" xfId="0" applyFont="1" applyBorder="1"/>
    <xf numFmtId="0" fontId="6" fillId="0" borderId="4" xfId="0" applyFont="1" applyBorder="1"/>
    <xf numFmtId="0" fontId="9" fillId="0" borderId="5" xfId="0" applyFont="1" applyBorder="1"/>
    <xf numFmtId="49" fontId="9" fillId="0" borderId="6" xfId="0" applyNumberFormat="1" applyFont="1" applyBorder="1"/>
    <xf numFmtId="49" fontId="9" fillId="0" borderId="7" xfId="0" applyNumberFormat="1" applyFont="1" applyBorder="1"/>
    <xf numFmtId="0" fontId="9" fillId="0" borderId="8" xfId="0" applyFont="1" applyBorder="1"/>
    <xf numFmtId="0" fontId="9" fillId="0" borderId="9" xfId="0" applyFont="1" applyBorder="1"/>
    <xf numFmtId="49" fontId="9" fillId="0" borderId="0" xfId="0" applyNumberFormat="1" applyFont="1" applyBorder="1"/>
    <xf numFmtId="0" fontId="9" fillId="0" borderId="10" xfId="0" applyFont="1" applyBorder="1"/>
    <xf numFmtId="49" fontId="9" fillId="0" borderId="11" xfId="0" applyNumberFormat="1" applyFont="1" applyBorder="1"/>
    <xf numFmtId="0" fontId="9" fillId="0" borderId="12" xfId="0" applyFont="1" applyBorder="1"/>
    <xf numFmtId="0" fontId="0" fillId="0" borderId="10" xfId="0" applyBorder="1"/>
    <xf numFmtId="0" fontId="0" fillId="0" borderId="12" xfId="0" applyBorder="1"/>
    <xf numFmtId="0" fontId="7" fillId="0" borderId="14" xfId="0" applyFont="1" applyBorder="1"/>
    <xf numFmtId="0" fontId="7" fillId="0" borderId="15" xfId="0" applyFont="1" applyBorder="1"/>
    <xf numFmtId="0" fontId="7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xVal>
            <c:numRef>
              <c:f>'Ba+Avicel'!$I$55:$I$62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10</c:v>
                </c:pt>
                <c:pt idx="5">
                  <c:v>15</c:v>
                </c:pt>
                <c:pt idx="6">
                  <c:v>30</c:v>
                </c:pt>
                <c:pt idx="7">
                  <c:v>50</c:v>
                </c:pt>
              </c:numCache>
            </c:numRef>
          </c:xVal>
          <c:yVal>
            <c:numRef>
              <c:f>'Ba+Avicel'!$K$55:$K$62</c:f>
              <c:numCache>
                <c:formatCode>General</c:formatCode>
                <c:ptCount val="8"/>
                <c:pt idx="0">
                  <c:v>0</c:v>
                </c:pt>
                <c:pt idx="1">
                  <c:v>2.1000000000000005E-2</c:v>
                </c:pt>
                <c:pt idx="2">
                  <c:v>4.6300000000000008E-2</c:v>
                </c:pt>
                <c:pt idx="3">
                  <c:v>7.2900000000000006E-2</c:v>
                </c:pt>
                <c:pt idx="4">
                  <c:v>0.104</c:v>
                </c:pt>
                <c:pt idx="5">
                  <c:v>0.15560000000000002</c:v>
                </c:pt>
                <c:pt idx="6">
                  <c:v>0.30530000000000002</c:v>
                </c:pt>
                <c:pt idx="7">
                  <c:v>0.50320000000000009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B1-434C-9DB5-18483199B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6752104"/>
        <c:axId val="806755344"/>
      </c:scatterChart>
      <c:valAx>
        <c:axId val="806752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806755344"/>
        <c:crosses val="autoZero"/>
        <c:crossBetween val="midCat"/>
      </c:valAx>
      <c:valAx>
        <c:axId val="80675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806752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Standard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'[1]Standard curve'!$O$31:$O$38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3.2999999821186066E-3</c:v>
                  </c:pt>
                  <c:pt idx="2">
                    <c:v>2.5696974863625038E-3</c:v>
                  </c:pt>
                  <c:pt idx="3">
                    <c:v>1.6522730921812124E-3</c:v>
                  </c:pt>
                  <c:pt idx="4">
                    <c:v>1.8556253934390882E-3</c:v>
                  </c:pt>
                  <c:pt idx="5">
                    <c:v>3.2624168543468465E-3</c:v>
                  </c:pt>
                  <c:pt idx="6">
                    <c:v>2.0306006363497993E-3</c:v>
                  </c:pt>
                  <c:pt idx="7">
                    <c:v>2.4704872008509959E-3</c:v>
                  </c:pt>
                </c:numCache>
              </c:numRef>
            </c:plus>
            <c:minus>
              <c:numRef>
                <c:f>'[1]Standard curve'!$O$31:$O$38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3.2999999821186066E-3</c:v>
                  </c:pt>
                  <c:pt idx="2">
                    <c:v>2.5696974863625038E-3</c:v>
                  </c:pt>
                  <c:pt idx="3">
                    <c:v>1.6522730921812124E-3</c:v>
                  </c:pt>
                  <c:pt idx="4">
                    <c:v>1.8556253934390882E-3</c:v>
                  </c:pt>
                  <c:pt idx="5">
                    <c:v>3.2624168543468465E-3</c:v>
                  </c:pt>
                  <c:pt idx="6">
                    <c:v>2.0306006363497993E-3</c:v>
                  </c:pt>
                  <c:pt idx="7">
                    <c:v>2.4704872008509959E-3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'[1]Standard curve'!$O$31:$O$38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3.2999999821186066E-3</c:v>
                  </c:pt>
                  <c:pt idx="2">
                    <c:v>2.5696974863625038E-3</c:v>
                  </c:pt>
                  <c:pt idx="3">
                    <c:v>1.6522730921812124E-3</c:v>
                  </c:pt>
                  <c:pt idx="4">
                    <c:v>1.8556253934390882E-3</c:v>
                  </c:pt>
                  <c:pt idx="5">
                    <c:v>3.2624168543468465E-3</c:v>
                  </c:pt>
                  <c:pt idx="6">
                    <c:v>2.0306006363497993E-3</c:v>
                  </c:pt>
                  <c:pt idx="7">
                    <c:v>2.4704872008509959E-3</c:v>
                  </c:pt>
                </c:numCache>
              </c:numRef>
            </c:plus>
            <c:minus>
              <c:numRef>
                <c:f>'[1]Standard curve'!$O$31:$O$38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3.2999999821186066E-3</c:v>
                  </c:pt>
                  <c:pt idx="2">
                    <c:v>2.5696974863625038E-3</c:v>
                  </c:pt>
                  <c:pt idx="3">
                    <c:v>1.6522730921812124E-3</c:v>
                  </c:pt>
                  <c:pt idx="4">
                    <c:v>1.8556253934390882E-3</c:v>
                  </c:pt>
                  <c:pt idx="5">
                    <c:v>3.2624168543468465E-3</c:v>
                  </c:pt>
                  <c:pt idx="6">
                    <c:v>2.0306006363497993E-3</c:v>
                  </c:pt>
                  <c:pt idx="7">
                    <c:v>2.4704872008509959E-3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'[1]Standard curve'!$G$31:$G$38</c:f>
              <c:numCache>
                <c:formatCode>General</c:formatCode>
                <c:ptCount val="8"/>
                <c:pt idx="0">
                  <c:v>0</c:v>
                </c:pt>
                <c:pt idx="1">
                  <c:v>0.31578947368421051</c:v>
                </c:pt>
                <c:pt idx="2">
                  <c:v>0.94736842105263153</c:v>
                </c:pt>
                <c:pt idx="3">
                  <c:v>1.6842105263157894</c:v>
                </c:pt>
                <c:pt idx="4">
                  <c:v>3.3684210526315788</c:v>
                </c:pt>
                <c:pt idx="5">
                  <c:v>6.3157894736842106</c:v>
                </c:pt>
                <c:pt idx="6">
                  <c:v>10.526315789473685</c:v>
                </c:pt>
                <c:pt idx="7">
                  <c:v>15.789473684210527</c:v>
                </c:pt>
              </c:numCache>
            </c:numRef>
          </c:xVal>
          <c:yVal>
            <c:numRef>
              <c:f>'[1]Standard curve'!$N$31:$N$38</c:f>
              <c:numCache>
                <c:formatCode>General</c:formatCode>
                <c:ptCount val="8"/>
                <c:pt idx="0">
                  <c:v>0</c:v>
                </c:pt>
                <c:pt idx="1">
                  <c:v>6.5999999642372131E-3</c:v>
                </c:pt>
                <c:pt idx="2">
                  <c:v>1.4866667489210764E-2</c:v>
                </c:pt>
                <c:pt idx="3">
                  <c:v>2.3500002920627594E-2</c:v>
                </c:pt>
                <c:pt idx="4">
                  <c:v>4.9333333969116211E-2</c:v>
                </c:pt>
                <c:pt idx="5">
                  <c:v>8.3533334235350296E-2</c:v>
                </c:pt>
                <c:pt idx="6">
                  <c:v>0.13676666965087256</c:v>
                </c:pt>
                <c:pt idx="7">
                  <c:v>0.20653334011634192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4D-42C4-B850-D57BFC9CE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4234920"/>
        <c:axId val="894235904"/>
      </c:scatterChart>
      <c:valAx>
        <c:axId val="894234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894235904"/>
        <c:crosses val="autoZero"/>
        <c:crossBetween val="midCat"/>
      </c:valAx>
      <c:valAx>
        <c:axId val="89423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894234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Standard curve (avg)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xVal>
            <c:numRef>
              <c:f>'[2]Standard curve'!$G$31:$G$38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8.3333333333333339</c:v>
                </c:pt>
                <c:pt idx="3">
                  <c:v>11.666666666666666</c:v>
                </c:pt>
                <c:pt idx="4">
                  <c:v>16.666666666666668</c:v>
                </c:pt>
                <c:pt idx="5">
                  <c:v>23.333333333333332</c:v>
                </c:pt>
                <c:pt idx="6">
                  <c:v>33.333333333333336</c:v>
                </c:pt>
                <c:pt idx="7">
                  <c:v>46.666666666666664</c:v>
                </c:pt>
              </c:numCache>
            </c:numRef>
          </c:xVal>
          <c:yVal>
            <c:numRef>
              <c:f>'[2]Standard curve'!$K$31:$K$38</c:f>
              <c:numCache>
                <c:formatCode>General</c:formatCode>
                <c:ptCount val="8"/>
                <c:pt idx="0">
                  <c:v>0</c:v>
                </c:pt>
                <c:pt idx="1">
                  <c:v>3.060000017285347E-2</c:v>
                </c:pt>
                <c:pt idx="2">
                  <c:v>5.0833333283662796E-2</c:v>
                </c:pt>
                <c:pt idx="3">
                  <c:v>6.7099999636411667E-2</c:v>
                </c:pt>
                <c:pt idx="4">
                  <c:v>9.4733333835999176E-2</c:v>
                </c:pt>
                <c:pt idx="5">
                  <c:v>0.12603333219885826</c:v>
                </c:pt>
                <c:pt idx="6">
                  <c:v>0.18516666814684868</c:v>
                </c:pt>
                <c:pt idx="7">
                  <c:v>0.2608666680753231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E2-4792-8886-68BF317B8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172320"/>
        <c:axId val="1318174616"/>
      </c:scatterChart>
      <c:valAx>
        <c:axId val="131817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18174616"/>
        <c:crosses val="autoZero"/>
        <c:crossBetween val="midCat"/>
      </c:valAx>
      <c:valAx>
        <c:axId val="1318174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18172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Standard</a:t>
            </a:r>
            <a:r>
              <a:rPr lang="nb-NO" baseline="0"/>
              <a:t>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b-NO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'[3]Standard curve'!$P$32:$P$38</c:f>
                <c:numCache>
                  <c:formatCode>General</c:formatCode>
                  <c:ptCount val="7"/>
                  <c:pt idx="0">
                    <c:v>4.3204692148339724E-4</c:v>
                  </c:pt>
                  <c:pt idx="1">
                    <c:v>2.5746653118399894E-3</c:v>
                  </c:pt>
                  <c:pt idx="2">
                    <c:v>1.2832252462672766E-3</c:v>
                  </c:pt>
                  <c:pt idx="3">
                    <c:v>1.0530377049336428E-2</c:v>
                  </c:pt>
                  <c:pt idx="4">
                    <c:v>4.7581517439044679E-3</c:v>
                  </c:pt>
                  <c:pt idx="5">
                    <c:v>8.0713497773719275E-3</c:v>
                  </c:pt>
                  <c:pt idx="6">
                    <c:v>1.7761628449962846E-2</c:v>
                  </c:pt>
                </c:numCache>
              </c:numRef>
            </c:plus>
            <c:minus>
              <c:numRef>
                <c:f>'[3]Standard curve'!$P$31:$P$38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4.3204692148339724E-4</c:v>
                  </c:pt>
                  <c:pt idx="2">
                    <c:v>2.5746653118399894E-3</c:v>
                  </c:pt>
                  <c:pt idx="3">
                    <c:v>1.2832252462672766E-3</c:v>
                  </c:pt>
                  <c:pt idx="4">
                    <c:v>1.0530377049336428E-2</c:v>
                  </c:pt>
                  <c:pt idx="5">
                    <c:v>4.7581517439044679E-3</c:v>
                  </c:pt>
                  <c:pt idx="6">
                    <c:v>8.0713497773719275E-3</c:v>
                  </c:pt>
                  <c:pt idx="7">
                    <c:v>1.7761628449962846E-2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'[3]Standard curve'!$P$31:$P$38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4.3204692148339724E-4</c:v>
                  </c:pt>
                  <c:pt idx="2">
                    <c:v>2.5746653118399894E-3</c:v>
                  </c:pt>
                  <c:pt idx="3">
                    <c:v>1.2832252462672766E-3</c:v>
                  </c:pt>
                  <c:pt idx="4">
                    <c:v>1.0530377049336428E-2</c:v>
                  </c:pt>
                  <c:pt idx="5">
                    <c:v>4.7581517439044679E-3</c:v>
                  </c:pt>
                  <c:pt idx="6">
                    <c:v>8.0713497773719275E-3</c:v>
                  </c:pt>
                  <c:pt idx="7">
                    <c:v>1.7761628449962846E-2</c:v>
                  </c:pt>
                </c:numCache>
              </c:numRef>
            </c:plus>
            <c:minus>
              <c:numRef>
                <c:f>'[3]Standard curve'!$P$31:$P$38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4.3204692148339724E-4</c:v>
                  </c:pt>
                  <c:pt idx="2">
                    <c:v>2.5746653118399894E-3</c:v>
                  </c:pt>
                  <c:pt idx="3">
                    <c:v>1.2832252462672766E-3</c:v>
                  </c:pt>
                  <c:pt idx="4">
                    <c:v>1.0530377049336428E-2</c:v>
                  </c:pt>
                  <c:pt idx="5">
                    <c:v>4.7581517439044679E-3</c:v>
                  </c:pt>
                  <c:pt idx="6">
                    <c:v>8.0713497773719275E-3</c:v>
                  </c:pt>
                  <c:pt idx="7">
                    <c:v>1.7761628449962846E-2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'[3]Standard curve'!$K$31:$K$38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10</c:v>
                </c:pt>
                <c:pt idx="4">
                  <c:v>14</c:v>
                </c:pt>
                <c:pt idx="5">
                  <c:v>20</c:v>
                </c:pt>
                <c:pt idx="6">
                  <c:v>28</c:v>
                </c:pt>
                <c:pt idx="7">
                  <c:v>39.5</c:v>
                </c:pt>
              </c:numCache>
            </c:numRef>
          </c:xVal>
          <c:yVal>
            <c:numRef>
              <c:f>'[3]Standard curve'!$O$31:$O$38</c:f>
              <c:numCache>
                <c:formatCode>General</c:formatCode>
                <c:ptCount val="8"/>
                <c:pt idx="0">
                  <c:v>0</c:v>
                </c:pt>
                <c:pt idx="1">
                  <c:v>3.8599999000628792E-2</c:v>
                </c:pt>
                <c:pt idx="2">
                  <c:v>7.6933335512876511E-2</c:v>
                </c:pt>
                <c:pt idx="3">
                  <c:v>0.12629999841252962</c:v>
                </c:pt>
                <c:pt idx="4">
                  <c:v>0.1718333326280117</c:v>
                </c:pt>
                <c:pt idx="5">
                  <c:v>0.25620001181960106</c:v>
                </c:pt>
                <c:pt idx="6">
                  <c:v>0.35470000530282658</c:v>
                </c:pt>
                <c:pt idx="7">
                  <c:v>0.46226665005087852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13-492D-A16F-8E580CB97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3125960"/>
        <c:axId val="1003127272"/>
      </c:scatterChart>
      <c:valAx>
        <c:axId val="1003125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03127272"/>
        <c:crosses val="autoZero"/>
        <c:crossBetween val="midCat"/>
      </c:valAx>
      <c:valAx>
        <c:axId val="1003127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03125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390525</xdr:colOff>
      <xdr:row>57</xdr:row>
      <xdr:rowOff>3175</xdr:rowOff>
    </xdr:from>
    <xdr:to>
      <xdr:col>19</xdr:col>
      <xdr:colOff>85725</xdr:colOff>
      <xdr:row>71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AEC10C-E7BF-B7FA-70C4-35A7359E67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537482</xdr:colOff>
      <xdr:row>66</xdr:row>
      <xdr:rowOff>19957</xdr:rowOff>
    </xdr:from>
    <xdr:to>
      <xdr:col>23</xdr:col>
      <xdr:colOff>515257</xdr:colOff>
      <xdr:row>80</xdr:row>
      <xdr:rowOff>85044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B8057F-4D8E-4266-812C-0B6CD4CE88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222250</xdr:colOff>
      <xdr:row>61</xdr:row>
      <xdr:rowOff>171450</xdr:rowOff>
    </xdr:from>
    <xdr:to>
      <xdr:col>18</xdr:col>
      <xdr:colOff>31750</xdr:colOff>
      <xdr:row>76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9BD41F-2199-45EE-992A-5CDB99D5B6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168275</xdr:colOff>
      <xdr:row>44</xdr:row>
      <xdr:rowOff>95250</xdr:rowOff>
    </xdr:from>
    <xdr:to>
      <xdr:col>21</xdr:col>
      <xdr:colOff>285750</xdr:colOff>
      <xdr:row>61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FC2A3C-9786-4F15-877C-BAD6F82CD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udntnu-my.sharepoint.com/personal/susanntr_ntnu_no/Documents/PhD/Projects/ScCBM2/ScCBM2%20cellulose%20binding%20assays/221026_ScCBM2_A280_assay_Avicel.xlsx" TargetMode="External"/><Relationship Id="rId1" Type="http://schemas.openxmlformats.org/officeDocument/2006/relationships/externalLinkPath" Target="PhD/Projects/ScCBM2/ScCBM2%20cellulose%20binding%20assays/221026_ScCBM2_A280_assay_Avic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udntnu-my.sharepoint.com/personal/susanntr_ntnu_no/Documents/PhD/Projects/ScCBM2/ScCBM2%20cellulose%20binding%20assays/221109_ScCBM2_A280_assay_CNF_mech.xlsx" TargetMode="External"/><Relationship Id="rId1" Type="http://schemas.openxmlformats.org/officeDocument/2006/relationships/externalLinkPath" Target="PhD/Projects/ScCBM2/ScCBM2%20cellulose%20binding%20assays/221109_ScCBM2_A280_assay_CNF_mech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udntnu-my.sharepoint.com/personal/susanntr_ntnu_no/Documents/PhD/Projects/ScCBM2/ScCBM2%20cellulose%20binding%20assays/221123_ScCBM2_A280_assay_CNC+BMCC.xlsx" TargetMode="External"/><Relationship Id="rId1" Type="http://schemas.openxmlformats.org/officeDocument/2006/relationships/externalLinkPath" Target="PhD/Projects/ScCBM2/ScCBM2%20cellulose%20binding%20assays/221123_ScCBM2_A280_assay_CNC+BMC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tocol"/>
      <sheetName val="Dilution"/>
      <sheetName val="test 1"/>
      <sheetName val="Standard curve"/>
      <sheetName val="Avicel assay 2"/>
      <sheetName val="Avicel assay"/>
      <sheetName val="Sheet2"/>
      <sheetName val="Sheet3"/>
      <sheetName val="Dilution (2)"/>
    </sheetNames>
    <sheetDataSet>
      <sheetData sheetId="0"/>
      <sheetData sheetId="1"/>
      <sheetData sheetId="2"/>
      <sheetData sheetId="3">
        <row r="31">
          <cell r="G31">
            <v>0</v>
          </cell>
          <cell r="N31">
            <v>0</v>
          </cell>
          <cell r="O31">
            <v>0</v>
          </cell>
        </row>
        <row r="32">
          <cell r="G32">
            <v>0.31578947368421051</v>
          </cell>
          <cell r="N32">
            <v>6.5999999642372131E-3</v>
          </cell>
          <cell r="O32">
            <v>3.2999999821186066E-3</v>
          </cell>
        </row>
        <row r="33">
          <cell r="G33">
            <v>0.94736842105263153</v>
          </cell>
          <cell r="N33">
            <v>1.4866667489210764E-2</v>
          </cell>
          <cell r="O33">
            <v>2.5696974863625038E-3</v>
          </cell>
        </row>
        <row r="34">
          <cell r="G34">
            <v>1.6842105263157894</v>
          </cell>
          <cell r="N34">
            <v>2.3500002920627594E-2</v>
          </cell>
          <cell r="O34">
            <v>1.6522730921812124E-3</v>
          </cell>
        </row>
        <row r="35">
          <cell r="G35">
            <v>3.3684210526315788</v>
          </cell>
          <cell r="N35">
            <v>4.9333333969116211E-2</v>
          </cell>
          <cell r="O35">
            <v>1.8556253934390882E-3</v>
          </cell>
        </row>
        <row r="36">
          <cell r="G36">
            <v>6.3157894736842106</v>
          </cell>
          <cell r="N36">
            <v>8.3533334235350296E-2</v>
          </cell>
          <cell r="O36">
            <v>3.2624168543468465E-3</v>
          </cell>
        </row>
        <row r="37">
          <cell r="G37">
            <v>10.526315789473685</v>
          </cell>
          <cell r="N37">
            <v>0.13676666965087256</v>
          </cell>
          <cell r="O37">
            <v>2.0306006363497993E-3</v>
          </cell>
        </row>
        <row r="38">
          <cell r="G38">
            <v>15.789473684210527</v>
          </cell>
          <cell r="N38">
            <v>0.20653334011634192</v>
          </cell>
          <cell r="O38">
            <v>2.4704872008509959E-3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NF Mek"/>
      <sheetName val="Standard curve"/>
      <sheetName val="M CNF assay"/>
    </sheetNames>
    <sheetDataSet>
      <sheetData sheetId="0"/>
      <sheetData sheetId="1">
        <row r="31">
          <cell r="G31">
            <v>0</v>
          </cell>
          <cell r="K31">
            <v>0</v>
          </cell>
        </row>
        <row r="32">
          <cell r="G32">
            <v>5</v>
          </cell>
          <cell r="K32">
            <v>3.060000017285347E-2</v>
          </cell>
        </row>
        <row r="33">
          <cell r="G33">
            <v>8.3333333333333339</v>
          </cell>
          <cell r="K33">
            <v>5.0833333283662796E-2</v>
          </cell>
        </row>
        <row r="34">
          <cell r="G34">
            <v>11.666666666666666</v>
          </cell>
          <cell r="K34">
            <v>6.7099999636411667E-2</v>
          </cell>
        </row>
        <row r="35">
          <cell r="G35">
            <v>16.666666666666668</v>
          </cell>
          <cell r="K35">
            <v>9.4733333835999176E-2</v>
          </cell>
        </row>
        <row r="36">
          <cell r="G36">
            <v>23.333333333333332</v>
          </cell>
          <cell r="K36">
            <v>0.12603333219885826</v>
          </cell>
        </row>
        <row r="37">
          <cell r="G37">
            <v>33.333333333333336</v>
          </cell>
          <cell r="K37">
            <v>0.18516666814684868</v>
          </cell>
        </row>
        <row r="38">
          <cell r="G38">
            <v>46.666666666666664</v>
          </cell>
          <cell r="K38">
            <v>0.2608666680753231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NC"/>
      <sheetName val="BMCC"/>
      <sheetName val="Standard curve"/>
      <sheetName val="CNC + BMCC"/>
    </sheetNames>
    <sheetDataSet>
      <sheetData sheetId="0"/>
      <sheetData sheetId="1"/>
      <sheetData sheetId="2">
        <row r="31">
          <cell r="K31">
            <v>0</v>
          </cell>
          <cell r="O31">
            <v>0</v>
          </cell>
          <cell r="P31">
            <v>0</v>
          </cell>
        </row>
        <row r="32">
          <cell r="K32">
            <v>3</v>
          </cell>
          <cell r="O32">
            <v>3.8599999000628792E-2</v>
          </cell>
          <cell r="P32">
            <v>4.3204692148339724E-4</v>
          </cell>
        </row>
        <row r="33">
          <cell r="K33">
            <v>6</v>
          </cell>
          <cell r="O33">
            <v>7.6933335512876511E-2</v>
          </cell>
          <cell r="P33">
            <v>2.5746653118399894E-3</v>
          </cell>
        </row>
        <row r="34">
          <cell r="K34">
            <v>10</v>
          </cell>
          <cell r="O34">
            <v>0.12629999841252962</v>
          </cell>
          <cell r="P34">
            <v>1.2832252462672766E-3</v>
          </cell>
        </row>
        <row r="35">
          <cell r="K35">
            <v>14</v>
          </cell>
          <cell r="O35">
            <v>0.1718333326280117</v>
          </cell>
          <cell r="P35">
            <v>1.0530377049336428E-2</v>
          </cell>
        </row>
        <row r="36">
          <cell r="K36">
            <v>20</v>
          </cell>
          <cell r="O36">
            <v>0.25620001181960106</v>
          </cell>
          <cell r="P36">
            <v>4.7581517439044679E-3</v>
          </cell>
        </row>
        <row r="37">
          <cell r="K37">
            <v>28</v>
          </cell>
          <cell r="O37">
            <v>0.35470000530282658</v>
          </cell>
          <cell r="P37">
            <v>8.0713497773719275E-3</v>
          </cell>
        </row>
        <row r="38">
          <cell r="K38">
            <v>39.5</v>
          </cell>
          <cell r="O38">
            <v>0.46226665005087852</v>
          </cell>
          <cell r="P38">
            <v>1.7761628449962846E-2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2F10-A0CB-440F-8A0C-704E2A6F8485}">
  <dimension ref="A1:M74"/>
  <sheetViews>
    <sheetView tabSelected="1" workbookViewId="0">
      <selection activeCell="G30" sqref="G30"/>
    </sheetView>
  </sheetViews>
  <sheetFormatPr defaultRowHeight="14.5" x14ac:dyDescent="0.35"/>
  <sheetData>
    <row r="1" spans="1:13" x14ac:dyDescent="0.35">
      <c r="A1" s="9" t="s">
        <v>35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35">
      <c r="A2" s="9" t="s">
        <v>46</v>
      </c>
      <c r="B2" s="9" t="s">
        <v>161</v>
      </c>
      <c r="C2">
        <v>5.57E-2</v>
      </c>
      <c r="D2">
        <v>5.5E-2</v>
      </c>
      <c r="E2">
        <v>5.4300000000000001E-2</v>
      </c>
      <c r="F2" s="9" t="s">
        <v>161</v>
      </c>
      <c r="G2" s="9" t="s">
        <v>161</v>
      </c>
      <c r="H2" s="9" t="s">
        <v>161</v>
      </c>
      <c r="I2" s="9" t="s">
        <v>161</v>
      </c>
      <c r="J2" s="9" t="s">
        <v>161</v>
      </c>
      <c r="K2" s="9" t="s">
        <v>161</v>
      </c>
      <c r="L2" s="9" t="s">
        <v>161</v>
      </c>
      <c r="M2" s="9" t="s">
        <v>161</v>
      </c>
    </row>
    <row r="3" spans="1:13" x14ac:dyDescent="0.35">
      <c r="A3" s="9" t="s">
        <v>47</v>
      </c>
      <c r="B3" s="9" t="s">
        <v>161</v>
      </c>
      <c r="C3">
        <v>6.7699999999999996E-2</v>
      </c>
      <c r="D3">
        <v>6.7699999999999996E-2</v>
      </c>
      <c r="E3">
        <v>6.8400000000000002E-2</v>
      </c>
      <c r="F3" s="9" t="s">
        <v>161</v>
      </c>
      <c r="G3" s="9" t="s">
        <v>161</v>
      </c>
      <c r="H3" s="9" t="s">
        <v>161</v>
      </c>
      <c r="I3" s="9" t="s">
        <v>161</v>
      </c>
      <c r="J3" s="9" t="s">
        <v>161</v>
      </c>
      <c r="K3" s="9" t="s">
        <v>161</v>
      </c>
      <c r="L3" s="9" t="s">
        <v>161</v>
      </c>
      <c r="M3" s="9" t="s">
        <v>161</v>
      </c>
    </row>
    <row r="4" spans="1:13" x14ac:dyDescent="0.35">
      <c r="A4" s="9" t="s">
        <v>48</v>
      </c>
      <c r="B4" s="9" t="s">
        <v>161</v>
      </c>
      <c r="C4">
        <v>8.2600000000000007E-2</v>
      </c>
      <c r="D4">
        <v>8.3599999999999994E-2</v>
      </c>
      <c r="E4">
        <v>8.43E-2</v>
      </c>
      <c r="F4" s="9" t="s">
        <v>161</v>
      </c>
      <c r="G4" s="9" t="s">
        <v>161</v>
      </c>
      <c r="H4" s="9" t="s">
        <v>161</v>
      </c>
      <c r="I4" s="9" t="s">
        <v>161</v>
      </c>
      <c r="J4" s="9" t="s">
        <v>161</v>
      </c>
      <c r="K4" s="9" t="s">
        <v>161</v>
      </c>
      <c r="L4" s="9" t="s">
        <v>161</v>
      </c>
      <c r="M4" s="9" t="s">
        <v>161</v>
      </c>
    </row>
    <row r="5" spans="1:13" x14ac:dyDescent="0.35">
      <c r="A5" s="9" t="s">
        <v>49</v>
      </c>
      <c r="B5" s="9" t="s">
        <v>161</v>
      </c>
      <c r="C5">
        <v>0.105</v>
      </c>
      <c r="D5">
        <v>0.1079</v>
      </c>
      <c r="E5">
        <v>0.1086</v>
      </c>
      <c r="F5" s="9" t="s">
        <v>161</v>
      </c>
      <c r="G5" s="9" t="s">
        <v>161</v>
      </c>
      <c r="H5" s="9" t="s">
        <v>161</v>
      </c>
      <c r="I5" s="9" t="s">
        <v>161</v>
      </c>
      <c r="J5" s="9" t="s">
        <v>161</v>
      </c>
      <c r="K5" s="9" t="s">
        <v>161</v>
      </c>
      <c r="L5" s="9" t="s">
        <v>161</v>
      </c>
      <c r="M5" s="9" t="s">
        <v>161</v>
      </c>
    </row>
    <row r="6" spans="1:13" x14ac:dyDescent="0.35">
      <c r="A6" s="9" t="s">
        <v>50</v>
      </c>
      <c r="B6" s="9" t="s">
        <v>161</v>
      </c>
      <c r="C6">
        <v>0.12859999999999999</v>
      </c>
      <c r="D6">
        <v>0.13400000000000001</v>
      </c>
      <c r="E6">
        <v>0.1321</v>
      </c>
      <c r="F6" s="9" t="s">
        <v>161</v>
      </c>
      <c r="G6" s="9" t="s">
        <v>161</v>
      </c>
      <c r="H6" s="9" t="s">
        <v>161</v>
      </c>
      <c r="I6" s="9" t="s">
        <v>161</v>
      </c>
      <c r="J6" s="9" t="s">
        <v>161</v>
      </c>
      <c r="K6" s="9" t="s">
        <v>161</v>
      </c>
      <c r="L6" s="9" t="s">
        <v>161</v>
      </c>
      <c r="M6" s="9" t="s">
        <v>161</v>
      </c>
    </row>
    <row r="7" spans="1:13" x14ac:dyDescent="0.35">
      <c r="A7" s="9" t="s">
        <v>51</v>
      </c>
      <c r="B7" s="9" t="s">
        <v>161</v>
      </c>
      <c r="C7">
        <v>0.1709</v>
      </c>
      <c r="D7">
        <v>0.1661</v>
      </c>
      <c r="E7">
        <v>0.1744</v>
      </c>
      <c r="F7" s="9" t="s">
        <v>161</v>
      </c>
      <c r="G7" s="9" t="s">
        <v>161</v>
      </c>
      <c r="H7" s="9" t="s">
        <v>161</v>
      </c>
      <c r="I7" s="9" t="s">
        <v>161</v>
      </c>
      <c r="J7" s="9" t="s">
        <v>161</v>
      </c>
      <c r="K7" s="9" t="s">
        <v>161</v>
      </c>
      <c r="L7" s="9" t="s">
        <v>161</v>
      </c>
      <c r="M7" s="9" t="s">
        <v>161</v>
      </c>
    </row>
    <row r="8" spans="1:13" x14ac:dyDescent="0.35">
      <c r="A8" s="9" t="s">
        <v>52</v>
      </c>
      <c r="B8" s="9" t="s">
        <v>161</v>
      </c>
      <c r="C8">
        <v>0.2853</v>
      </c>
      <c r="D8">
        <v>0.27650000000000002</v>
      </c>
      <c r="E8">
        <v>0.3039</v>
      </c>
      <c r="F8" s="9" t="s">
        <v>161</v>
      </c>
      <c r="G8" s="9" t="s">
        <v>161</v>
      </c>
      <c r="H8" s="9" t="s">
        <v>161</v>
      </c>
      <c r="I8" s="9" t="s">
        <v>161</v>
      </c>
      <c r="J8" s="9" t="s">
        <v>161</v>
      </c>
      <c r="K8" s="9" t="s">
        <v>161</v>
      </c>
      <c r="L8" s="9" t="s">
        <v>161</v>
      </c>
      <c r="M8" s="9" t="s">
        <v>161</v>
      </c>
    </row>
    <row r="9" spans="1:13" x14ac:dyDescent="0.35">
      <c r="A9" s="9" t="s">
        <v>53</v>
      </c>
      <c r="B9" s="9" t="s">
        <v>161</v>
      </c>
      <c r="C9">
        <v>0.43259999999999998</v>
      </c>
      <c r="D9">
        <v>0.4723</v>
      </c>
      <c r="E9">
        <v>0.48959999999999998</v>
      </c>
      <c r="F9" s="9" t="s">
        <v>161</v>
      </c>
      <c r="G9" s="9" t="s">
        <v>161</v>
      </c>
      <c r="H9" s="9" t="s">
        <v>161</v>
      </c>
      <c r="I9" s="9" t="s">
        <v>161</v>
      </c>
      <c r="J9" s="9" t="s">
        <v>161</v>
      </c>
      <c r="K9" s="9" t="s">
        <v>161</v>
      </c>
      <c r="L9" s="9" t="s">
        <v>161</v>
      </c>
      <c r="M9" s="9" t="s">
        <v>161</v>
      </c>
    </row>
    <row r="14" spans="1:13" x14ac:dyDescent="0.35">
      <c r="J14" s="15" t="s">
        <v>160</v>
      </c>
      <c r="K14" s="16" t="s">
        <v>46</v>
      </c>
      <c r="L14" s="16" t="s">
        <v>47</v>
      </c>
      <c r="M14" s="17" t="s">
        <v>48</v>
      </c>
    </row>
    <row r="15" spans="1:13" x14ac:dyDescent="0.35">
      <c r="A15" t="s">
        <v>136</v>
      </c>
      <c r="J15" s="18">
        <v>0</v>
      </c>
      <c r="K15" s="14">
        <v>5.57E-2</v>
      </c>
      <c r="L15" s="14">
        <v>5.5E-2</v>
      </c>
      <c r="M15" s="19">
        <v>5.4300000000000001E-2</v>
      </c>
    </row>
    <row r="16" spans="1:13" x14ac:dyDescent="0.35">
      <c r="A16" t="s">
        <v>137</v>
      </c>
      <c r="J16" s="18">
        <v>2</v>
      </c>
      <c r="K16" s="14">
        <v>6.7699999999999996E-2</v>
      </c>
      <c r="L16" s="14">
        <v>6.7699999999999996E-2</v>
      </c>
      <c r="M16" s="19">
        <v>6.8400000000000002E-2</v>
      </c>
    </row>
    <row r="17" spans="1:13" x14ac:dyDescent="0.35">
      <c r="A17" t="s">
        <v>138</v>
      </c>
      <c r="J17" s="18">
        <v>4</v>
      </c>
      <c r="K17" s="14">
        <v>8.2600000000000007E-2</v>
      </c>
      <c r="L17" s="14">
        <v>8.3599999999999994E-2</v>
      </c>
      <c r="M17" s="19">
        <v>8.43E-2</v>
      </c>
    </row>
    <row r="18" spans="1:13" x14ac:dyDescent="0.35">
      <c r="A18" t="s">
        <v>139</v>
      </c>
      <c r="J18" s="18">
        <v>7</v>
      </c>
      <c r="K18" s="14">
        <v>0.105</v>
      </c>
      <c r="L18" s="14">
        <v>0.1079</v>
      </c>
      <c r="M18" s="19">
        <v>0.1086</v>
      </c>
    </row>
    <row r="19" spans="1:13" x14ac:dyDescent="0.35">
      <c r="A19" t="s">
        <v>15</v>
      </c>
      <c r="J19" s="18">
        <v>10</v>
      </c>
      <c r="K19" s="14">
        <v>0.12859999999999999</v>
      </c>
      <c r="L19" s="14">
        <v>0.13400000000000001</v>
      </c>
      <c r="M19" s="19">
        <v>0.1321</v>
      </c>
    </row>
    <row r="20" spans="1:13" x14ac:dyDescent="0.35">
      <c r="A20" t="s">
        <v>162</v>
      </c>
      <c r="J20" s="18">
        <v>15</v>
      </c>
      <c r="K20" s="14">
        <v>0.1709</v>
      </c>
      <c r="L20" s="14">
        <v>0.1661</v>
      </c>
      <c r="M20" s="19">
        <v>0.1744</v>
      </c>
    </row>
    <row r="21" spans="1:13" x14ac:dyDescent="0.35">
      <c r="A21" t="s">
        <v>141</v>
      </c>
      <c r="J21" s="18">
        <v>30</v>
      </c>
      <c r="K21" s="14">
        <v>0.2853</v>
      </c>
      <c r="L21" s="14">
        <v>0.27650000000000002</v>
      </c>
      <c r="M21" s="19">
        <v>0.3039</v>
      </c>
    </row>
    <row r="22" spans="1:13" x14ac:dyDescent="0.35">
      <c r="A22" t="s">
        <v>142</v>
      </c>
      <c r="J22" s="20">
        <v>50</v>
      </c>
      <c r="K22" s="21">
        <v>0.43259999999999998</v>
      </c>
      <c r="L22" s="21">
        <v>0.4723</v>
      </c>
      <c r="M22" s="22">
        <v>0.48959999999999998</v>
      </c>
    </row>
    <row r="23" spans="1:13" x14ac:dyDescent="0.35">
      <c r="A23" t="s">
        <v>143</v>
      </c>
    </row>
    <row r="24" spans="1:13" x14ac:dyDescent="0.35">
      <c r="A24" t="s">
        <v>172</v>
      </c>
    </row>
    <row r="25" spans="1:13" x14ac:dyDescent="0.35">
      <c r="A25" t="s">
        <v>164</v>
      </c>
    </row>
    <row r="26" spans="1:13" x14ac:dyDescent="0.35">
      <c r="A26" t="s">
        <v>165</v>
      </c>
    </row>
    <row r="27" spans="1:13" x14ac:dyDescent="0.35">
      <c r="A27" t="s">
        <v>166</v>
      </c>
    </row>
    <row r="28" spans="1:13" x14ac:dyDescent="0.35">
      <c r="A28" t="s">
        <v>167</v>
      </c>
    </row>
    <row r="29" spans="1:13" x14ac:dyDescent="0.35">
      <c r="A29" t="s">
        <v>168</v>
      </c>
    </row>
    <row r="30" spans="1:13" x14ac:dyDescent="0.35">
      <c r="A30" t="s">
        <v>169</v>
      </c>
    </row>
    <row r="31" spans="1:13" x14ac:dyDescent="0.35">
      <c r="A31" t="s">
        <v>152</v>
      </c>
    </row>
    <row r="32" spans="1:13" x14ac:dyDescent="0.35">
      <c r="A32" t="s">
        <v>153</v>
      </c>
    </row>
    <row r="33" spans="1:13" x14ac:dyDescent="0.35">
      <c r="A33" t="s">
        <v>157</v>
      </c>
    </row>
    <row r="34" spans="1:13" x14ac:dyDescent="0.35">
      <c r="A34" t="s">
        <v>173</v>
      </c>
    </row>
    <row r="35" spans="1:13" x14ac:dyDescent="0.35">
      <c r="A35" t="s">
        <v>174</v>
      </c>
    </row>
    <row r="38" spans="1:13" s="10" customFormat="1" x14ac:dyDescent="0.35">
      <c r="A38" s="11" t="s">
        <v>56</v>
      </c>
    </row>
    <row r="39" spans="1:13" x14ac:dyDescent="0.35">
      <c r="A39" s="9" t="s">
        <v>35</v>
      </c>
      <c r="B39">
        <v>1</v>
      </c>
      <c r="C39">
        <v>2</v>
      </c>
      <c r="D39">
        <v>3</v>
      </c>
      <c r="E39">
        <v>4</v>
      </c>
      <c r="F39">
        <v>5</v>
      </c>
      <c r="G39">
        <v>6</v>
      </c>
      <c r="H39">
        <v>7</v>
      </c>
      <c r="I39">
        <v>8</v>
      </c>
      <c r="J39">
        <v>9</v>
      </c>
      <c r="K39">
        <v>10</v>
      </c>
      <c r="L39">
        <v>11</v>
      </c>
      <c r="M39">
        <v>12</v>
      </c>
    </row>
    <row r="40" spans="1:13" x14ac:dyDescent="0.35">
      <c r="A40" s="9" t="s">
        <v>46</v>
      </c>
      <c r="B40">
        <v>5.0799999999999998E-2</v>
      </c>
      <c r="C40" s="9" t="s">
        <v>161</v>
      </c>
      <c r="D40" s="9" t="s">
        <v>161</v>
      </c>
      <c r="E40" s="9" t="s">
        <v>161</v>
      </c>
      <c r="F40" s="9" t="s">
        <v>161</v>
      </c>
      <c r="G40" s="9" t="s">
        <v>161</v>
      </c>
      <c r="H40" s="9" t="s">
        <v>161</v>
      </c>
      <c r="I40" s="9" t="s">
        <v>161</v>
      </c>
      <c r="J40" s="9" t="s">
        <v>161</v>
      </c>
      <c r="K40" s="9" t="s">
        <v>161</v>
      </c>
      <c r="L40" s="9" t="s">
        <v>161</v>
      </c>
      <c r="M40" s="9" t="s">
        <v>161</v>
      </c>
    </row>
    <row r="41" spans="1:13" x14ac:dyDescent="0.35">
      <c r="A41" s="9" t="s">
        <v>47</v>
      </c>
      <c r="B41">
        <v>7.1800000000000003E-2</v>
      </c>
      <c r="C41" s="9" t="s">
        <v>161</v>
      </c>
      <c r="D41" s="9" t="s">
        <v>161</v>
      </c>
      <c r="E41" s="9" t="s">
        <v>161</v>
      </c>
      <c r="F41" s="9" t="s">
        <v>161</v>
      </c>
      <c r="G41" s="9" t="s">
        <v>161</v>
      </c>
      <c r="H41" s="9" t="s">
        <v>161</v>
      </c>
      <c r="I41" s="9" t="s">
        <v>161</v>
      </c>
      <c r="J41" s="9" t="s">
        <v>161</v>
      </c>
      <c r="K41" s="9" t="s">
        <v>161</v>
      </c>
      <c r="L41" s="9" t="s">
        <v>161</v>
      </c>
      <c r="M41" s="9" t="s">
        <v>161</v>
      </c>
    </row>
    <row r="42" spans="1:13" x14ac:dyDescent="0.35">
      <c r="A42" s="9" t="s">
        <v>48</v>
      </c>
      <c r="B42">
        <v>9.7100000000000006E-2</v>
      </c>
      <c r="C42" s="9" t="s">
        <v>161</v>
      </c>
      <c r="D42" s="9" t="s">
        <v>161</v>
      </c>
      <c r="E42" s="9" t="s">
        <v>161</v>
      </c>
      <c r="F42" s="9" t="s">
        <v>161</v>
      </c>
      <c r="G42" s="9" t="s">
        <v>161</v>
      </c>
      <c r="H42" s="9" t="s">
        <v>161</v>
      </c>
      <c r="I42" s="9" t="s">
        <v>161</v>
      </c>
      <c r="J42" s="9" t="s">
        <v>161</v>
      </c>
      <c r="K42" s="9" t="s">
        <v>161</v>
      </c>
      <c r="L42" s="9" t="s">
        <v>161</v>
      </c>
      <c r="M42" s="9" t="s">
        <v>161</v>
      </c>
    </row>
    <row r="43" spans="1:13" x14ac:dyDescent="0.35">
      <c r="A43" s="9" t="s">
        <v>49</v>
      </c>
      <c r="B43">
        <v>0.1237</v>
      </c>
      <c r="C43" s="9" t="s">
        <v>161</v>
      </c>
      <c r="D43" s="9" t="s">
        <v>161</v>
      </c>
      <c r="E43" s="9" t="s">
        <v>161</v>
      </c>
      <c r="F43" s="9" t="s">
        <v>161</v>
      </c>
      <c r="G43" s="9" t="s">
        <v>161</v>
      </c>
      <c r="H43" s="9" t="s">
        <v>161</v>
      </c>
      <c r="I43" s="9" t="s">
        <v>161</v>
      </c>
      <c r="J43" s="9" t="s">
        <v>161</v>
      </c>
      <c r="K43" s="9" t="s">
        <v>161</v>
      </c>
      <c r="L43" s="9" t="s">
        <v>161</v>
      </c>
      <c r="M43" s="9" t="s">
        <v>161</v>
      </c>
    </row>
    <row r="44" spans="1:13" x14ac:dyDescent="0.35">
      <c r="A44" s="9" t="s">
        <v>50</v>
      </c>
      <c r="B44">
        <v>0.15479999999999999</v>
      </c>
      <c r="C44" s="9" t="s">
        <v>161</v>
      </c>
      <c r="D44" s="9" t="s">
        <v>161</v>
      </c>
      <c r="E44" s="9" t="s">
        <v>161</v>
      </c>
      <c r="F44" s="9" t="s">
        <v>161</v>
      </c>
      <c r="G44" s="9" t="s">
        <v>161</v>
      </c>
      <c r="H44" s="9" t="s">
        <v>161</v>
      </c>
      <c r="I44" s="9" t="s">
        <v>161</v>
      </c>
      <c r="J44" s="9" t="s">
        <v>161</v>
      </c>
      <c r="K44" s="9" t="s">
        <v>161</v>
      </c>
      <c r="L44" s="9" t="s">
        <v>161</v>
      </c>
      <c r="M44" s="9" t="s">
        <v>161</v>
      </c>
    </row>
    <row r="45" spans="1:13" x14ac:dyDescent="0.35">
      <c r="A45" s="9" t="s">
        <v>51</v>
      </c>
      <c r="B45">
        <v>0.2064</v>
      </c>
      <c r="C45" s="9" t="s">
        <v>161</v>
      </c>
      <c r="D45" s="9" t="s">
        <v>161</v>
      </c>
      <c r="E45" s="9" t="s">
        <v>161</v>
      </c>
      <c r="F45" s="9" t="s">
        <v>161</v>
      </c>
      <c r="G45" s="9" t="s">
        <v>161</v>
      </c>
      <c r="H45" s="9" t="s">
        <v>161</v>
      </c>
      <c r="I45" s="9" t="s">
        <v>161</v>
      </c>
      <c r="J45" s="9" t="s">
        <v>161</v>
      </c>
      <c r="K45" s="9" t="s">
        <v>161</v>
      </c>
      <c r="L45" s="9" t="s">
        <v>161</v>
      </c>
      <c r="M45" s="9" t="s">
        <v>161</v>
      </c>
    </row>
    <row r="46" spans="1:13" x14ac:dyDescent="0.35">
      <c r="A46" s="9" t="s">
        <v>52</v>
      </c>
      <c r="B46">
        <v>0.35610000000000003</v>
      </c>
      <c r="C46" s="9" t="s">
        <v>161</v>
      </c>
      <c r="D46" s="9" t="s">
        <v>161</v>
      </c>
      <c r="E46" s="9" t="s">
        <v>161</v>
      </c>
      <c r="F46" s="9" t="s">
        <v>161</v>
      </c>
      <c r="G46" s="9" t="s">
        <v>161</v>
      </c>
      <c r="H46" s="9" t="s">
        <v>161</v>
      </c>
      <c r="I46" s="9" t="s">
        <v>161</v>
      </c>
      <c r="J46" s="9" t="s">
        <v>161</v>
      </c>
      <c r="K46" s="9" t="s">
        <v>161</v>
      </c>
      <c r="L46" s="9" t="s">
        <v>161</v>
      </c>
      <c r="M46" s="9" t="s">
        <v>161</v>
      </c>
    </row>
    <row r="47" spans="1:13" x14ac:dyDescent="0.35">
      <c r="A47" s="9" t="s">
        <v>53</v>
      </c>
      <c r="B47">
        <v>0.55400000000000005</v>
      </c>
      <c r="C47" s="9" t="s">
        <v>161</v>
      </c>
      <c r="D47" s="9" t="s">
        <v>161</v>
      </c>
      <c r="E47" s="9" t="s">
        <v>161</v>
      </c>
      <c r="F47" s="9" t="s">
        <v>161</v>
      </c>
      <c r="G47" s="9" t="s">
        <v>161</v>
      </c>
      <c r="H47" s="9" t="s">
        <v>161</v>
      </c>
      <c r="I47" s="9" t="s">
        <v>161</v>
      </c>
      <c r="J47" s="9" t="s">
        <v>161</v>
      </c>
      <c r="K47" s="9" t="s">
        <v>161</v>
      </c>
      <c r="L47" s="9" t="s">
        <v>161</v>
      </c>
      <c r="M47" s="9" t="s">
        <v>161</v>
      </c>
    </row>
    <row r="54" spans="1:11" x14ac:dyDescent="0.35">
      <c r="A54" t="s">
        <v>136</v>
      </c>
      <c r="I54" s="15" t="s">
        <v>160</v>
      </c>
      <c r="J54" s="16" t="s">
        <v>158</v>
      </c>
      <c r="K54" s="17"/>
    </row>
    <row r="55" spans="1:11" x14ac:dyDescent="0.35">
      <c r="A55" t="s">
        <v>137</v>
      </c>
      <c r="I55" s="18">
        <v>0</v>
      </c>
      <c r="J55" s="14">
        <v>5.0799999999999998E-2</v>
      </c>
      <c r="K55" s="19">
        <f>J55-$J$55</f>
        <v>0</v>
      </c>
    </row>
    <row r="56" spans="1:11" x14ac:dyDescent="0.35">
      <c r="A56" t="s">
        <v>138</v>
      </c>
      <c r="I56" s="18">
        <v>2</v>
      </c>
      <c r="J56" s="14">
        <v>7.1800000000000003E-2</v>
      </c>
      <c r="K56" s="19">
        <f>J56-$J$55</f>
        <v>2.1000000000000005E-2</v>
      </c>
    </row>
    <row r="57" spans="1:11" x14ac:dyDescent="0.35">
      <c r="A57" t="s">
        <v>139</v>
      </c>
      <c r="I57" s="18">
        <v>4</v>
      </c>
      <c r="J57" s="14">
        <v>9.7100000000000006E-2</v>
      </c>
      <c r="K57" s="19">
        <f>J57-$J$55</f>
        <v>4.6300000000000008E-2</v>
      </c>
    </row>
    <row r="58" spans="1:11" x14ac:dyDescent="0.35">
      <c r="A58" t="s">
        <v>15</v>
      </c>
      <c r="I58" s="18">
        <v>7</v>
      </c>
      <c r="J58" s="14">
        <v>0.1237</v>
      </c>
      <c r="K58" s="19">
        <f>J58-$J$55</f>
        <v>7.2900000000000006E-2</v>
      </c>
    </row>
    <row r="59" spans="1:11" x14ac:dyDescent="0.35">
      <c r="A59" t="s">
        <v>162</v>
      </c>
      <c r="I59" s="18">
        <v>10</v>
      </c>
      <c r="J59" s="14">
        <v>0.15479999999999999</v>
      </c>
      <c r="K59" s="19">
        <f>J59-$J$55</f>
        <v>0.104</v>
      </c>
    </row>
    <row r="60" spans="1:11" x14ac:dyDescent="0.35">
      <c r="A60" t="s">
        <v>141</v>
      </c>
      <c r="I60" s="18">
        <v>15</v>
      </c>
      <c r="J60" s="14">
        <v>0.2064</v>
      </c>
      <c r="K60" s="19">
        <f>J60-$J$55</f>
        <v>0.15560000000000002</v>
      </c>
    </row>
    <row r="61" spans="1:11" x14ac:dyDescent="0.35">
      <c r="A61" t="s">
        <v>142</v>
      </c>
      <c r="I61" s="18">
        <v>30</v>
      </c>
      <c r="J61" s="14">
        <v>0.35610000000000003</v>
      </c>
      <c r="K61" s="19">
        <f>J61-$J$55</f>
        <v>0.30530000000000002</v>
      </c>
    </row>
    <row r="62" spans="1:11" x14ac:dyDescent="0.35">
      <c r="A62" t="s">
        <v>143</v>
      </c>
      <c r="I62" s="20">
        <v>50</v>
      </c>
      <c r="J62" s="21">
        <v>0.55400000000000005</v>
      </c>
      <c r="K62" s="22">
        <f>J62-$J$55</f>
        <v>0.50320000000000009</v>
      </c>
    </row>
    <row r="63" spans="1:11" x14ac:dyDescent="0.35">
      <c r="A63" t="s">
        <v>163</v>
      </c>
    </row>
    <row r="64" spans="1:11" x14ac:dyDescent="0.35">
      <c r="A64" t="s">
        <v>164</v>
      </c>
    </row>
    <row r="65" spans="1:1" x14ac:dyDescent="0.35">
      <c r="A65" t="s">
        <v>165</v>
      </c>
    </row>
    <row r="66" spans="1:1" x14ac:dyDescent="0.35">
      <c r="A66" t="s">
        <v>166</v>
      </c>
    </row>
    <row r="67" spans="1:1" x14ac:dyDescent="0.35">
      <c r="A67" t="s">
        <v>167</v>
      </c>
    </row>
    <row r="68" spans="1:1" x14ac:dyDescent="0.35">
      <c r="A68" t="s">
        <v>168</v>
      </c>
    </row>
    <row r="69" spans="1:1" x14ac:dyDescent="0.35">
      <c r="A69" t="s">
        <v>169</v>
      </c>
    </row>
    <row r="70" spans="1:1" x14ac:dyDescent="0.35">
      <c r="A70" t="s">
        <v>152</v>
      </c>
    </row>
    <row r="71" spans="1:1" x14ac:dyDescent="0.35">
      <c r="A71" t="s">
        <v>153</v>
      </c>
    </row>
    <row r="72" spans="1:1" x14ac:dyDescent="0.35">
      <c r="A72" t="s">
        <v>157</v>
      </c>
    </row>
    <row r="73" spans="1:1" x14ac:dyDescent="0.35">
      <c r="A73" t="s">
        <v>170</v>
      </c>
    </row>
    <row r="74" spans="1:1" x14ac:dyDescent="0.35">
      <c r="A74" t="s">
        <v>171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3D075-578B-4D52-9611-19A15C7A22F3}">
  <dimension ref="A1:AE84"/>
  <sheetViews>
    <sheetView zoomScaleNormal="100" workbookViewId="0">
      <selection activeCell="J61" sqref="J61"/>
    </sheetView>
  </sheetViews>
  <sheetFormatPr defaultRowHeight="14.5" x14ac:dyDescent="0.35"/>
  <cols>
    <col min="6" max="6" width="10.36328125" customWidth="1"/>
  </cols>
  <sheetData>
    <row r="1" spans="1:21" x14ac:dyDescent="0.35">
      <c r="A1" t="s">
        <v>0</v>
      </c>
      <c r="E1" t="s">
        <v>1</v>
      </c>
    </row>
    <row r="2" spans="1:21" x14ac:dyDescent="0.35">
      <c r="A2" t="s">
        <v>2</v>
      </c>
      <c r="E2" t="s">
        <v>3</v>
      </c>
      <c r="I2" t="s">
        <v>4</v>
      </c>
    </row>
    <row r="3" spans="1:21" x14ac:dyDescent="0.35">
      <c r="A3" t="s">
        <v>5</v>
      </c>
      <c r="E3" t="s">
        <v>6</v>
      </c>
    </row>
    <row r="5" spans="1:21" x14ac:dyDescent="0.35">
      <c r="A5" t="s">
        <v>7</v>
      </c>
      <c r="B5" t="s">
        <v>70</v>
      </c>
    </row>
    <row r="6" spans="1:21" x14ac:dyDescent="0.35">
      <c r="A6" t="s">
        <v>9</v>
      </c>
      <c r="B6" s="1" t="s">
        <v>71</v>
      </c>
    </row>
    <row r="7" spans="1:21" x14ac:dyDescent="0.35">
      <c r="R7" s="15" t="s">
        <v>160</v>
      </c>
      <c r="S7" s="16" t="s">
        <v>46</v>
      </c>
      <c r="T7" s="16" t="s">
        <v>47</v>
      </c>
      <c r="U7" s="17" t="s">
        <v>48</v>
      </c>
    </row>
    <row r="8" spans="1:21" x14ac:dyDescent="0.35">
      <c r="R8" s="18">
        <v>0</v>
      </c>
      <c r="S8" s="14">
        <v>0</v>
      </c>
      <c r="T8" s="14">
        <v>0</v>
      </c>
      <c r="U8" s="19">
        <v>0</v>
      </c>
    </row>
    <row r="9" spans="1:21" x14ac:dyDescent="0.35">
      <c r="A9" t="s">
        <v>11</v>
      </c>
      <c r="E9" t="s">
        <v>12</v>
      </c>
      <c r="R9" s="18">
        <v>2</v>
      </c>
      <c r="S9" s="14">
        <v>5.3000003099441528E-3</v>
      </c>
      <c r="T9" s="14">
        <v>6.5999999642372131E-3</v>
      </c>
      <c r="U9" s="19">
        <v>2.8000026941299438E-3</v>
      </c>
    </row>
    <row r="10" spans="1:21" x14ac:dyDescent="0.35">
      <c r="A10" t="s">
        <v>13</v>
      </c>
      <c r="E10" t="s">
        <v>14</v>
      </c>
      <c r="R10" s="18">
        <v>4</v>
      </c>
      <c r="S10" s="14">
        <v>1.2699998915195465E-2</v>
      </c>
      <c r="T10" s="14">
        <v>1.2699998915195465E-2</v>
      </c>
      <c r="U10" s="19">
        <v>8.6999982595443726E-3</v>
      </c>
    </row>
    <row r="11" spans="1:21" x14ac:dyDescent="0.35">
      <c r="A11" t="s">
        <v>15</v>
      </c>
      <c r="E11" t="s">
        <v>16</v>
      </c>
      <c r="R11" s="18">
        <v>5.6</v>
      </c>
      <c r="S11" s="14">
        <v>2.9899999499320984E-2</v>
      </c>
      <c r="T11" s="14">
        <v>2.2600002586841583E-2</v>
      </c>
      <c r="U11" s="19">
        <v>2.1899998188018799E-2</v>
      </c>
    </row>
    <row r="12" spans="1:21" x14ac:dyDescent="0.35">
      <c r="A12" t="s">
        <v>17</v>
      </c>
      <c r="R12" s="18">
        <v>8</v>
      </c>
      <c r="S12" s="14">
        <v>3.8199998438358307E-2</v>
      </c>
      <c r="T12" s="14">
        <v>2.8599999845027924E-2</v>
      </c>
      <c r="U12" s="19">
        <v>2.409999817609787E-2</v>
      </c>
    </row>
    <row r="13" spans="1:21" x14ac:dyDescent="0.35">
      <c r="R13" s="18">
        <v>11.5</v>
      </c>
      <c r="S13" s="14">
        <v>5.0400003790855408E-2</v>
      </c>
      <c r="T13" s="14">
        <v>4.0399998426437378E-2</v>
      </c>
      <c r="U13" s="19">
        <v>4.8799999058246613E-2</v>
      </c>
    </row>
    <row r="14" spans="1:21" x14ac:dyDescent="0.35">
      <c r="R14" s="18">
        <v>16</v>
      </c>
      <c r="S14" s="14">
        <v>6.3699997961521149E-2</v>
      </c>
      <c r="T14" s="14">
        <v>6.4800001680850983E-2</v>
      </c>
      <c r="U14" s="19">
        <v>6.889999657869339E-2</v>
      </c>
    </row>
    <row r="15" spans="1:21" x14ac:dyDescent="0.35">
      <c r="A15" t="s">
        <v>18</v>
      </c>
      <c r="R15" s="18">
        <v>21</v>
      </c>
      <c r="S15" s="14">
        <v>0.11800000816583633</v>
      </c>
      <c r="T15" s="14">
        <v>0.10929999500513077</v>
      </c>
      <c r="U15" s="19">
        <v>0.10569999366998672</v>
      </c>
    </row>
    <row r="16" spans="1:21" x14ac:dyDescent="0.35">
      <c r="A16" t="s">
        <v>19</v>
      </c>
      <c r="E16" t="s">
        <v>20</v>
      </c>
      <c r="R16" s="23"/>
      <c r="S16" s="24"/>
      <c r="T16" s="24"/>
      <c r="U16" s="25"/>
    </row>
    <row r="17" spans="1:31" x14ac:dyDescent="0.35">
      <c r="A17" t="s">
        <v>21</v>
      </c>
      <c r="E17">
        <v>280</v>
      </c>
      <c r="F17" t="s">
        <v>22</v>
      </c>
      <c r="R17" s="23"/>
      <c r="S17" s="24"/>
      <c r="T17" s="24"/>
      <c r="U17" s="25"/>
    </row>
    <row r="18" spans="1:31" x14ac:dyDescent="0.35">
      <c r="A18" t="s">
        <v>23</v>
      </c>
      <c r="E18">
        <v>5</v>
      </c>
      <c r="F18" t="s">
        <v>22</v>
      </c>
      <c r="R18" s="20" t="s">
        <v>109</v>
      </c>
      <c r="S18" s="21"/>
      <c r="T18" s="21">
        <v>10</v>
      </c>
      <c r="U18" s="22" t="s">
        <v>110</v>
      </c>
      <c r="V18" s="13"/>
    </row>
    <row r="19" spans="1:31" x14ac:dyDescent="0.35">
      <c r="A19" t="s">
        <v>24</v>
      </c>
      <c r="E19">
        <v>25</v>
      </c>
    </row>
    <row r="20" spans="1:31" x14ac:dyDescent="0.35">
      <c r="A20" t="s">
        <v>27</v>
      </c>
      <c r="E20">
        <v>0</v>
      </c>
      <c r="F20" t="s">
        <v>28</v>
      </c>
    </row>
    <row r="21" spans="1:31" x14ac:dyDescent="0.35">
      <c r="A21" t="s">
        <v>30</v>
      </c>
      <c r="E21" t="s">
        <v>72</v>
      </c>
    </row>
    <row r="22" spans="1:31" x14ac:dyDescent="0.35">
      <c r="A22" t="s">
        <v>32</v>
      </c>
      <c r="B22" s="1" t="s">
        <v>73</v>
      </c>
    </row>
    <row r="23" spans="1:31" x14ac:dyDescent="0.35">
      <c r="R23" s="15"/>
      <c r="S23" s="16"/>
      <c r="T23" s="26" t="s">
        <v>69</v>
      </c>
      <c r="U23" s="26"/>
      <c r="V23" s="26"/>
      <c r="W23" s="16"/>
      <c r="X23" s="16"/>
      <c r="Y23" s="16"/>
      <c r="Z23" s="16"/>
      <c r="AA23" s="16"/>
      <c r="AB23" s="16"/>
      <c r="AC23" s="16"/>
      <c r="AD23" s="17"/>
      <c r="AE23" s="13"/>
    </row>
    <row r="24" spans="1:31" x14ac:dyDescent="0.35">
      <c r="B24" t="s">
        <v>74</v>
      </c>
      <c r="R24" s="27" t="s">
        <v>36</v>
      </c>
      <c r="S24" s="28" t="s">
        <v>75</v>
      </c>
      <c r="T24" s="29">
        <v>7</v>
      </c>
      <c r="U24" s="29">
        <v>8</v>
      </c>
      <c r="V24" s="29">
        <v>9</v>
      </c>
      <c r="W24" s="30" t="s">
        <v>76</v>
      </c>
      <c r="X24" s="30" t="s">
        <v>77</v>
      </c>
      <c r="Y24" s="30" t="s">
        <v>78</v>
      </c>
      <c r="Z24" s="31" t="s">
        <v>79</v>
      </c>
      <c r="AA24" s="32" t="s">
        <v>80</v>
      </c>
      <c r="AB24" s="32" t="s">
        <v>81</v>
      </c>
      <c r="AC24" s="32" t="s">
        <v>82</v>
      </c>
      <c r="AD24" s="33" t="s">
        <v>45</v>
      </c>
      <c r="AE24" s="13"/>
    </row>
    <row r="25" spans="1:31" x14ac:dyDescent="0.35">
      <c r="A25" s="2" t="s">
        <v>35</v>
      </c>
      <c r="B25" s="2">
        <v>7</v>
      </c>
      <c r="C25" s="2">
        <v>8</v>
      </c>
      <c r="D25" s="2">
        <v>9</v>
      </c>
      <c r="R25" s="34">
        <v>0</v>
      </c>
      <c r="S25" s="14">
        <f>R25/1000</f>
        <v>0</v>
      </c>
      <c r="T25" s="14">
        <f>B26-$B$26</f>
        <v>0</v>
      </c>
      <c r="U25" s="14">
        <f>C26-$C$26</f>
        <v>0</v>
      </c>
      <c r="V25" s="14">
        <f>D26-$D$26</f>
        <v>0</v>
      </c>
      <c r="W25" s="35">
        <f>(T25-0.0023)/0.0129</f>
        <v>-0.17829457364341084</v>
      </c>
      <c r="X25" s="35">
        <f t="shared" ref="X25:Y32" si="0">(U25-0.0023)/0.0129</f>
        <v>-0.17829457364341084</v>
      </c>
      <c r="Y25" s="35">
        <f t="shared" si="0"/>
        <v>-0.17829457364341084</v>
      </c>
      <c r="Z25" s="36">
        <f>SUM(W25:Y25)/3</f>
        <v>-0.17829457364341084</v>
      </c>
      <c r="AA25" s="37">
        <f t="shared" ref="AA25:AA32" si="1">S25-W25</f>
        <v>0.17829457364341084</v>
      </c>
      <c r="AB25" s="37">
        <f t="shared" ref="AB25:AB32" si="2">S25-X25</f>
        <v>0.17829457364341084</v>
      </c>
      <c r="AC25" s="37">
        <f t="shared" ref="AC25:AC32" si="3">S25-Y25</f>
        <v>0.17829457364341084</v>
      </c>
      <c r="AD25" s="38">
        <f t="shared" ref="AD25:AD32" si="4">S25-Z25</f>
        <v>0.17829457364341084</v>
      </c>
      <c r="AE25" s="13"/>
    </row>
    <row r="26" spans="1:31" x14ac:dyDescent="0.35">
      <c r="A26" s="2" t="s">
        <v>46</v>
      </c>
      <c r="B26">
        <v>6.1999998986721039E-2</v>
      </c>
      <c r="C26">
        <v>6.210000067949295E-2</v>
      </c>
      <c r="D26">
        <v>6.4699999988079071E-2</v>
      </c>
      <c r="R26" s="34">
        <v>2000</v>
      </c>
      <c r="S26" s="14">
        <f t="shared" ref="S26:S32" si="5">R26/1000</f>
        <v>2</v>
      </c>
      <c r="T26" s="14">
        <f>B27-$B$26</f>
        <v>5.3000003099441528E-3</v>
      </c>
      <c r="U26" s="14">
        <f>C27-$C$26</f>
        <v>6.5999999642372131E-3</v>
      </c>
      <c r="V26" s="14">
        <f>D27-$D$26</f>
        <v>2.8000026941299438E-3</v>
      </c>
      <c r="W26" s="35">
        <f t="shared" ref="W26:W32" si="6">(T26-0.0023)/0.0129</f>
        <v>0.23255816356156223</v>
      </c>
      <c r="X26" s="35">
        <f t="shared" si="0"/>
        <v>0.33333333056102427</v>
      </c>
      <c r="Y26" s="35">
        <f t="shared" si="0"/>
        <v>3.8759898769763095E-2</v>
      </c>
      <c r="Z26" s="36">
        <f t="shared" ref="Z26:Z32" si="7">SUM(W26:Y26)/3</f>
        <v>0.20155046429744986</v>
      </c>
      <c r="AA26" s="37">
        <f t="shared" si="1"/>
        <v>1.7674418364384379</v>
      </c>
      <c r="AB26" s="37">
        <f t="shared" si="2"/>
        <v>1.6666666694389758</v>
      </c>
      <c r="AC26" s="37">
        <f t="shared" si="3"/>
        <v>1.961240101230237</v>
      </c>
      <c r="AD26" s="38">
        <f t="shared" si="4"/>
        <v>1.7984495357025501</v>
      </c>
      <c r="AE26" s="13"/>
    </row>
    <row r="27" spans="1:31" x14ac:dyDescent="0.35">
      <c r="A27" s="2" t="s">
        <v>47</v>
      </c>
      <c r="B27">
        <v>6.7299999296665192E-2</v>
      </c>
      <c r="C27">
        <v>6.8700000643730164E-2</v>
      </c>
      <c r="D27">
        <v>6.7500002682209015E-2</v>
      </c>
      <c r="R27" s="34">
        <v>4000</v>
      </c>
      <c r="S27" s="14">
        <f t="shared" si="5"/>
        <v>4</v>
      </c>
      <c r="T27" s="14">
        <f>B28-$B$26</f>
        <v>1.2699998915195465E-2</v>
      </c>
      <c r="U27" s="14">
        <f>C28-$C$26</f>
        <v>1.2699998915195465E-2</v>
      </c>
      <c r="V27" s="14">
        <f>D28-$D$26</f>
        <v>8.6999982595443726E-3</v>
      </c>
      <c r="W27" s="35">
        <f t="shared" si="6"/>
        <v>0.80620146629422207</v>
      </c>
      <c r="X27" s="35">
        <f t="shared" si="0"/>
        <v>0.80620146629422207</v>
      </c>
      <c r="Y27" s="35">
        <f t="shared" si="0"/>
        <v>0.49612389608871105</v>
      </c>
      <c r="Z27" s="36">
        <f t="shared" si="7"/>
        <v>0.70284227622571838</v>
      </c>
      <c r="AA27" s="37">
        <f t="shared" si="1"/>
        <v>3.1937985337057779</v>
      </c>
      <c r="AB27" s="37">
        <f t="shared" si="2"/>
        <v>3.1937985337057779</v>
      </c>
      <c r="AC27" s="37">
        <f t="shared" si="3"/>
        <v>3.5038761039112889</v>
      </c>
      <c r="AD27" s="38">
        <f t="shared" si="4"/>
        <v>3.2971577237742817</v>
      </c>
      <c r="AE27" s="13"/>
    </row>
    <row r="28" spans="1:31" x14ac:dyDescent="0.35">
      <c r="A28" s="2" t="s">
        <v>48</v>
      </c>
      <c r="B28">
        <v>7.4699997901916504E-2</v>
      </c>
      <c r="C28">
        <v>7.4799999594688416E-2</v>
      </c>
      <c r="D28">
        <v>7.3399998247623444E-2</v>
      </c>
      <c r="R28" s="34">
        <v>5600</v>
      </c>
      <c r="S28" s="14">
        <f t="shared" si="5"/>
        <v>5.6</v>
      </c>
      <c r="T28" s="14">
        <f>B29-$B$26</f>
        <v>2.9899999499320984E-2</v>
      </c>
      <c r="U28" s="14">
        <f>C29-$C$26</f>
        <v>2.2600002586841583E-2</v>
      </c>
      <c r="V28" s="14">
        <f>D29-$D$26</f>
        <v>2.1899998188018799E-2</v>
      </c>
      <c r="W28" s="35">
        <f t="shared" si="6"/>
        <v>2.1395348449086034</v>
      </c>
      <c r="X28" s="35">
        <f t="shared" si="0"/>
        <v>1.5736436113830685</v>
      </c>
      <c r="Y28" s="35">
        <f t="shared" si="0"/>
        <v>1.5193797044975812</v>
      </c>
      <c r="Z28" s="36">
        <f t="shared" si="7"/>
        <v>1.7441860535964178</v>
      </c>
      <c r="AA28" s="37">
        <f t="shared" si="1"/>
        <v>3.4604651550913963</v>
      </c>
      <c r="AB28" s="37">
        <f t="shared" si="2"/>
        <v>4.0263563886169313</v>
      </c>
      <c r="AC28" s="37">
        <f t="shared" si="3"/>
        <v>4.0806202955024187</v>
      </c>
      <c r="AD28" s="38">
        <f t="shared" si="4"/>
        <v>3.8558139464035817</v>
      </c>
      <c r="AE28" s="13"/>
    </row>
    <row r="29" spans="1:31" x14ac:dyDescent="0.35">
      <c r="A29" s="2" t="s">
        <v>49</v>
      </c>
      <c r="B29">
        <v>9.1899998486042023E-2</v>
      </c>
      <c r="C29">
        <v>8.4700003266334534E-2</v>
      </c>
      <c r="D29">
        <v>8.659999817609787E-2</v>
      </c>
      <c r="R29" s="34">
        <v>8000</v>
      </c>
      <c r="S29" s="14">
        <f t="shared" si="5"/>
        <v>8</v>
      </c>
      <c r="T29" s="14">
        <f>B30-$B$26</f>
        <v>3.8199998438358307E-2</v>
      </c>
      <c r="U29" s="14">
        <f>C30-$C$26</f>
        <v>2.8599999845027924E-2</v>
      </c>
      <c r="V29" s="14">
        <f>D30-$D$26</f>
        <v>2.409999817609787E-2</v>
      </c>
      <c r="W29" s="35">
        <f t="shared" si="6"/>
        <v>2.782945615376613</v>
      </c>
      <c r="X29" s="35">
        <f t="shared" si="0"/>
        <v>2.0387596779091415</v>
      </c>
      <c r="Y29" s="35">
        <f t="shared" si="0"/>
        <v>1.689922339232393</v>
      </c>
      <c r="Z29" s="36">
        <f t="shared" si="7"/>
        <v>2.1705425441727155</v>
      </c>
      <c r="AA29" s="37">
        <f t="shared" si="1"/>
        <v>5.2170543846233866</v>
      </c>
      <c r="AB29" s="37">
        <f t="shared" si="2"/>
        <v>5.961240322090859</v>
      </c>
      <c r="AC29" s="37">
        <f t="shared" si="3"/>
        <v>6.3100776607676075</v>
      </c>
      <c r="AD29" s="38">
        <f t="shared" si="4"/>
        <v>5.8294574558272849</v>
      </c>
      <c r="AE29" s="13"/>
    </row>
    <row r="30" spans="1:31" x14ac:dyDescent="0.35">
      <c r="A30" s="2" t="s">
        <v>50</v>
      </c>
      <c r="B30">
        <v>0.10019999742507935</v>
      </c>
      <c r="C30">
        <v>9.0700000524520874E-2</v>
      </c>
      <c r="D30">
        <v>8.8799998164176941E-2</v>
      </c>
      <c r="R30" s="34">
        <v>11500</v>
      </c>
      <c r="S30" s="14">
        <f t="shared" si="5"/>
        <v>11.5</v>
      </c>
      <c r="T30" s="14">
        <f>B31-$B$26</f>
        <v>5.0400003790855408E-2</v>
      </c>
      <c r="U30" s="14">
        <f>C31-$C$26</f>
        <v>4.0399998426437378E-2</v>
      </c>
      <c r="V30" s="14">
        <f>D31-$D$26</f>
        <v>4.8799999058246613E-2</v>
      </c>
      <c r="W30" s="35">
        <f t="shared" si="6"/>
        <v>3.7286824644073961</v>
      </c>
      <c r="X30" s="35">
        <f t="shared" si="0"/>
        <v>2.953488250111425</v>
      </c>
      <c r="Y30" s="35">
        <f t="shared" si="0"/>
        <v>3.6046510897865596</v>
      </c>
      <c r="Z30" s="36">
        <f t="shared" si="7"/>
        <v>3.4289406014351269</v>
      </c>
      <c r="AA30" s="37">
        <f t="shared" si="1"/>
        <v>7.7713175355926039</v>
      </c>
      <c r="AB30" s="37">
        <f t="shared" si="2"/>
        <v>8.546511749888575</v>
      </c>
      <c r="AC30" s="37">
        <f t="shared" si="3"/>
        <v>7.8953489102134409</v>
      </c>
      <c r="AD30" s="38">
        <f t="shared" si="4"/>
        <v>8.0710593985648735</v>
      </c>
      <c r="AE30" s="13"/>
    </row>
    <row r="31" spans="1:31" x14ac:dyDescent="0.35">
      <c r="A31" s="2" t="s">
        <v>51</v>
      </c>
      <c r="B31">
        <v>0.11240000277757645</v>
      </c>
      <c r="C31">
        <v>0.10249999910593033</v>
      </c>
      <c r="D31">
        <v>0.11349999904632568</v>
      </c>
      <c r="R31" s="34">
        <v>16000</v>
      </c>
      <c r="S31" s="14">
        <f t="shared" si="5"/>
        <v>16</v>
      </c>
      <c r="T31" s="14">
        <f>B32-$B$26</f>
        <v>6.3699997961521149E-2</v>
      </c>
      <c r="U31" s="14">
        <f>C32-$C$26</f>
        <v>6.4800001680850983E-2</v>
      </c>
      <c r="V31" s="14">
        <f>D32-$D$26</f>
        <v>6.889999657869339E-2</v>
      </c>
      <c r="W31" s="35">
        <f t="shared" si="6"/>
        <v>4.7596897644590044</v>
      </c>
      <c r="X31" s="35">
        <f t="shared" si="0"/>
        <v>4.8449613706086039</v>
      </c>
      <c r="Y31" s="35">
        <f t="shared" si="0"/>
        <v>5.1627904324568519</v>
      </c>
      <c r="Z31" s="36">
        <f t="shared" si="7"/>
        <v>4.9224805225081534</v>
      </c>
      <c r="AA31" s="37">
        <f t="shared" si="1"/>
        <v>11.240310235540996</v>
      </c>
      <c r="AB31" s="37">
        <f t="shared" si="2"/>
        <v>11.155038629391395</v>
      </c>
      <c r="AC31" s="37">
        <f t="shared" si="3"/>
        <v>10.837209567543148</v>
      </c>
      <c r="AD31" s="38">
        <f t="shared" si="4"/>
        <v>11.077519477491848</v>
      </c>
      <c r="AE31" s="13"/>
    </row>
    <row r="32" spans="1:31" x14ac:dyDescent="0.35">
      <c r="A32" s="2" t="s">
        <v>52</v>
      </c>
      <c r="B32">
        <v>0.12569999694824219</v>
      </c>
      <c r="C32">
        <v>0.12690000236034393</v>
      </c>
      <c r="D32">
        <v>0.13359999656677246</v>
      </c>
      <c r="R32" s="39">
        <v>21000</v>
      </c>
      <c r="S32" s="21">
        <f t="shared" si="5"/>
        <v>21</v>
      </c>
      <c r="T32" s="21">
        <f>B33-$B$26</f>
        <v>0.11800000816583633</v>
      </c>
      <c r="U32" s="21">
        <f>C33-$C$26</f>
        <v>0.10929999500513077</v>
      </c>
      <c r="V32" s="21">
        <f>D33-$D$26</f>
        <v>0.10569999366998672</v>
      </c>
      <c r="W32" s="40">
        <f t="shared" si="6"/>
        <v>8.9689928810725839</v>
      </c>
      <c r="X32" s="40">
        <f t="shared" si="0"/>
        <v>8.2945732562116881</v>
      </c>
      <c r="Y32" s="40">
        <f t="shared" si="0"/>
        <v>8.0155033852702893</v>
      </c>
      <c r="Z32" s="41">
        <f t="shared" si="7"/>
        <v>8.4263565075181877</v>
      </c>
      <c r="AA32" s="42">
        <f t="shared" si="1"/>
        <v>12.031007118927416</v>
      </c>
      <c r="AB32" s="42">
        <f t="shared" si="2"/>
        <v>12.705426743788312</v>
      </c>
      <c r="AC32" s="42">
        <f t="shared" si="3"/>
        <v>12.984496614729711</v>
      </c>
      <c r="AD32" s="43">
        <f t="shared" si="4"/>
        <v>12.573643492481812</v>
      </c>
      <c r="AE32" s="13"/>
    </row>
    <row r="33" spans="1:31" x14ac:dyDescent="0.35">
      <c r="A33" s="2" t="s">
        <v>53</v>
      </c>
      <c r="B33">
        <v>0.18000000715255737</v>
      </c>
      <c r="C33">
        <v>0.17139999568462372</v>
      </c>
      <c r="D33">
        <v>0.1703999936580658</v>
      </c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</row>
    <row r="38" spans="1:31" x14ac:dyDescent="0.35">
      <c r="A38" t="s">
        <v>54</v>
      </c>
      <c r="B38" s="1" t="s">
        <v>83</v>
      </c>
    </row>
    <row r="41" spans="1:31" s="7" customFormat="1" x14ac:dyDescent="0.35">
      <c r="A41" s="6" t="s">
        <v>56</v>
      </c>
    </row>
    <row r="42" spans="1:31" x14ac:dyDescent="0.35">
      <c r="A42" t="s">
        <v>0</v>
      </c>
      <c r="E42" t="s">
        <v>1</v>
      </c>
    </row>
    <row r="43" spans="1:31" x14ac:dyDescent="0.35">
      <c r="A43" t="s">
        <v>2</v>
      </c>
      <c r="E43" t="s">
        <v>3</v>
      </c>
      <c r="I43" t="s">
        <v>4</v>
      </c>
    </row>
    <row r="44" spans="1:31" x14ac:dyDescent="0.35">
      <c r="A44" t="s">
        <v>5</v>
      </c>
      <c r="E44" t="s">
        <v>6</v>
      </c>
    </row>
    <row r="46" spans="1:31" x14ac:dyDescent="0.35">
      <c r="A46" t="s">
        <v>7</v>
      </c>
      <c r="B46" t="s">
        <v>84</v>
      </c>
    </row>
    <row r="47" spans="1:31" x14ac:dyDescent="0.35">
      <c r="A47" t="s">
        <v>9</v>
      </c>
      <c r="B47" s="1" t="s">
        <v>85</v>
      </c>
    </row>
    <row r="50" spans="1:12" x14ac:dyDescent="0.35">
      <c r="A50" t="s">
        <v>11</v>
      </c>
      <c r="E50" t="s">
        <v>12</v>
      </c>
    </row>
    <row r="51" spans="1:12" x14ac:dyDescent="0.35">
      <c r="A51" t="s">
        <v>13</v>
      </c>
      <c r="E51" t="s">
        <v>14</v>
      </c>
    </row>
    <row r="52" spans="1:12" x14ac:dyDescent="0.35">
      <c r="A52" t="s">
        <v>15</v>
      </c>
      <c r="E52" t="s">
        <v>16</v>
      </c>
    </row>
    <row r="53" spans="1:12" x14ac:dyDescent="0.35">
      <c r="A53" t="s">
        <v>17</v>
      </c>
    </row>
    <row r="55" spans="1:12" x14ac:dyDescent="0.35">
      <c r="A55" s="4" t="s">
        <v>58</v>
      </c>
      <c r="B55" s="4"/>
      <c r="C55" s="4"/>
      <c r="D55" s="4"/>
      <c r="E55" s="4">
        <v>5</v>
      </c>
      <c r="F55" s="4" t="s">
        <v>59</v>
      </c>
      <c r="G55" s="4"/>
      <c r="H55" s="4"/>
      <c r="I55" s="4"/>
      <c r="J55" s="4"/>
      <c r="K55" s="4"/>
      <c r="L55" s="4"/>
    </row>
    <row r="56" spans="1:12" x14ac:dyDescent="0.35">
      <c r="A56" s="4" t="s">
        <v>60</v>
      </c>
      <c r="B56" s="4"/>
      <c r="C56" s="4"/>
      <c r="D56" s="4"/>
      <c r="E56" s="4">
        <v>1</v>
      </c>
      <c r="F56" s="4" t="s">
        <v>61</v>
      </c>
      <c r="G56" s="4"/>
      <c r="H56" s="4"/>
      <c r="I56" s="4"/>
      <c r="J56" s="4"/>
      <c r="K56" s="4"/>
      <c r="L56" s="4"/>
    </row>
    <row r="58" spans="1:12" x14ac:dyDescent="0.35">
      <c r="A58" s="4" t="s">
        <v>62</v>
      </c>
      <c r="B58" s="4"/>
      <c r="C58" s="4"/>
      <c r="D58" s="4"/>
      <c r="E58" s="5">
        <v>6.9444444444444447E-4</v>
      </c>
      <c r="F58" s="4"/>
      <c r="G58" s="4"/>
      <c r="H58" s="4"/>
      <c r="I58" s="4"/>
      <c r="J58" s="4"/>
      <c r="K58" s="4"/>
      <c r="L58" s="4"/>
    </row>
    <row r="61" spans="1:12" x14ac:dyDescent="0.35">
      <c r="A61" t="s">
        <v>18</v>
      </c>
    </row>
    <row r="62" spans="1:12" x14ac:dyDescent="0.35">
      <c r="A62" t="s">
        <v>19</v>
      </c>
      <c r="E62" t="s">
        <v>20</v>
      </c>
    </row>
    <row r="63" spans="1:12" x14ac:dyDescent="0.35">
      <c r="A63" t="s">
        <v>21</v>
      </c>
      <c r="E63">
        <v>280</v>
      </c>
      <c r="F63" t="s">
        <v>22</v>
      </c>
    </row>
    <row r="64" spans="1:12" x14ac:dyDescent="0.35">
      <c r="A64" t="s">
        <v>23</v>
      </c>
      <c r="E64">
        <v>5</v>
      </c>
      <c r="F64" t="s">
        <v>22</v>
      </c>
    </row>
    <row r="65" spans="1:15" x14ac:dyDescent="0.35">
      <c r="A65" t="s">
        <v>24</v>
      </c>
      <c r="E65">
        <v>25</v>
      </c>
    </row>
    <row r="66" spans="1:15" x14ac:dyDescent="0.35">
      <c r="A66" t="s">
        <v>27</v>
      </c>
      <c r="E66">
        <v>0</v>
      </c>
      <c r="F66" t="s">
        <v>28</v>
      </c>
    </row>
    <row r="67" spans="1:15" x14ac:dyDescent="0.35">
      <c r="A67" t="s">
        <v>30</v>
      </c>
      <c r="E67" t="s">
        <v>63</v>
      </c>
    </row>
    <row r="68" spans="1:15" x14ac:dyDescent="0.35">
      <c r="A68" t="s">
        <v>32</v>
      </c>
      <c r="B68" s="1" t="s">
        <v>86</v>
      </c>
    </row>
    <row r="70" spans="1:15" x14ac:dyDescent="0.35">
      <c r="B70" t="s">
        <v>87</v>
      </c>
      <c r="F70" s="15"/>
      <c r="G70" s="16"/>
      <c r="H70" s="26" t="s">
        <v>88</v>
      </c>
      <c r="I70" s="26"/>
      <c r="J70" s="26"/>
      <c r="K70" s="44" t="s">
        <v>89</v>
      </c>
      <c r="L70" s="44"/>
      <c r="M70" s="44"/>
      <c r="N70" s="16"/>
      <c r="O70" s="17"/>
    </row>
    <row r="71" spans="1:15" x14ac:dyDescent="0.35">
      <c r="A71" s="2" t="s">
        <v>35</v>
      </c>
      <c r="B71" s="2">
        <v>1</v>
      </c>
      <c r="C71" s="2">
        <v>2</v>
      </c>
      <c r="D71" s="2">
        <v>3</v>
      </c>
      <c r="F71" s="18" t="s">
        <v>36</v>
      </c>
      <c r="G71" s="14" t="s">
        <v>90</v>
      </c>
      <c r="H71" s="29">
        <v>1</v>
      </c>
      <c r="I71" s="29">
        <v>2</v>
      </c>
      <c r="J71" s="29">
        <v>3</v>
      </c>
      <c r="K71" s="29">
        <v>1</v>
      </c>
      <c r="L71" s="29">
        <v>2</v>
      </c>
      <c r="M71" s="29">
        <v>3</v>
      </c>
      <c r="N71" s="14" t="s">
        <v>66</v>
      </c>
      <c r="O71" s="19" t="s">
        <v>91</v>
      </c>
    </row>
    <row r="72" spans="1:15" x14ac:dyDescent="0.35">
      <c r="A72" s="2" t="s">
        <v>46</v>
      </c>
      <c r="B72">
        <v>5.2900001406669617E-2</v>
      </c>
      <c r="C72">
        <v>5.0299998372793198E-2</v>
      </c>
      <c r="D72">
        <v>5.0299998372793198E-2</v>
      </c>
      <c r="F72" s="45">
        <v>0</v>
      </c>
      <c r="G72" s="46">
        <f>F72/1000</f>
        <v>0</v>
      </c>
      <c r="H72" s="14">
        <v>5.2900001406669617E-2</v>
      </c>
      <c r="I72" s="14">
        <v>5.0299998372793198E-2</v>
      </c>
      <c r="J72" s="14">
        <v>5.0299998372793198E-2</v>
      </c>
      <c r="K72" s="30">
        <f>H72-$H$72</f>
        <v>0</v>
      </c>
      <c r="L72" s="30">
        <f>I72-$I$72</f>
        <v>0</v>
      </c>
      <c r="M72" s="30">
        <f>J72-$J$72</f>
        <v>0</v>
      </c>
      <c r="N72" s="47">
        <f>SUM(K72:M72)/3</f>
        <v>0</v>
      </c>
      <c r="O72" s="48">
        <f>_xlfn.STDEV.S(K72:M72)</f>
        <v>0</v>
      </c>
    </row>
    <row r="73" spans="1:15" x14ac:dyDescent="0.35">
      <c r="A73" s="2" t="s">
        <v>47</v>
      </c>
      <c r="B73">
        <v>5.6200001388788223E-2</v>
      </c>
      <c r="C73">
        <v>6.0199998319149017E-2</v>
      </c>
      <c r="D73">
        <v>5.6899998337030411E-2</v>
      </c>
      <c r="F73" s="45">
        <v>315.78947368421052</v>
      </c>
      <c r="G73" s="46">
        <f t="shared" ref="G73:G78" si="8">F73/1000</f>
        <v>0.31578947368421051</v>
      </c>
      <c r="H73" s="14">
        <v>5.6200001388788223E-2</v>
      </c>
      <c r="I73" s="14">
        <v>6.0199998319149017E-2</v>
      </c>
      <c r="J73" s="14">
        <v>5.6899998337030411E-2</v>
      </c>
      <c r="K73" s="30">
        <f t="shared" ref="K73:K79" si="9">H73-$H$72</f>
        <v>3.2999999821186066E-3</v>
      </c>
      <c r="L73" s="30">
        <f t="shared" ref="L73:L79" si="10">I73-$I$72</f>
        <v>9.8999999463558197E-3</v>
      </c>
      <c r="M73" s="30">
        <f t="shared" ref="M73:M79" si="11">J73-$J$72</f>
        <v>6.5999999642372131E-3</v>
      </c>
      <c r="N73" s="47">
        <f t="shared" ref="N73:N79" si="12">SUM(K73:M73)/3</f>
        <v>6.5999999642372131E-3</v>
      </c>
      <c r="O73" s="48">
        <f t="shared" ref="O73:O79" si="13">_xlfn.STDEV.S(K73:M73)</f>
        <v>3.2999999821186066E-3</v>
      </c>
    </row>
    <row r="74" spans="1:15" x14ac:dyDescent="0.35">
      <c r="A74" s="2" t="s">
        <v>48</v>
      </c>
      <c r="B74">
        <v>6.7400000989437103E-2</v>
      </c>
      <c r="C74">
        <v>6.7900002002716064E-2</v>
      </c>
      <c r="D74">
        <v>6.2799997627735138E-2</v>
      </c>
      <c r="F74" s="45">
        <v>947.36842105263156</v>
      </c>
      <c r="G74" s="46">
        <f t="shared" si="8"/>
        <v>0.94736842105263153</v>
      </c>
      <c r="H74" s="14">
        <v>6.7400000989437103E-2</v>
      </c>
      <c r="I74" s="14">
        <v>6.7900002002716064E-2</v>
      </c>
      <c r="J74" s="14">
        <v>6.2799997627735138E-2</v>
      </c>
      <c r="K74" s="30">
        <f t="shared" si="9"/>
        <v>1.4499999582767487E-2</v>
      </c>
      <c r="L74" s="30">
        <f t="shared" si="10"/>
        <v>1.7600003629922867E-2</v>
      </c>
      <c r="M74" s="30">
        <f t="shared" si="11"/>
        <v>1.249999925494194E-2</v>
      </c>
      <c r="N74" s="47">
        <f t="shared" si="12"/>
        <v>1.4866667489210764E-2</v>
      </c>
      <c r="O74" s="48">
        <f>_xlfn.STDEV.S(K74:M74)</f>
        <v>2.5696974863625038E-3</v>
      </c>
    </row>
    <row r="75" spans="1:15" x14ac:dyDescent="0.35">
      <c r="A75" s="2" t="s">
        <v>49</v>
      </c>
      <c r="B75">
        <v>7.4500001966953278E-2</v>
      </c>
      <c r="C75">
        <v>7.4900001287460327E-2</v>
      </c>
      <c r="D75">
        <v>7.4600003659725189E-2</v>
      </c>
      <c r="F75" s="45">
        <v>1684.2105263157894</v>
      </c>
      <c r="G75" s="46">
        <f t="shared" si="8"/>
        <v>1.6842105263157894</v>
      </c>
      <c r="H75" s="14">
        <v>7.4500001966953278E-2</v>
      </c>
      <c r="I75" s="14">
        <v>7.4900001287460327E-2</v>
      </c>
      <c r="J75" s="14">
        <v>7.4600003659725189E-2</v>
      </c>
      <c r="K75" s="30">
        <f t="shared" si="9"/>
        <v>2.1600000560283661E-2</v>
      </c>
      <c r="L75" s="30">
        <f t="shared" si="10"/>
        <v>2.460000291466713E-2</v>
      </c>
      <c r="M75" s="30">
        <f t="shared" si="11"/>
        <v>2.4300005286931992E-2</v>
      </c>
      <c r="N75" s="47">
        <f t="shared" si="12"/>
        <v>2.3500002920627594E-2</v>
      </c>
      <c r="O75" s="48">
        <f>_xlfn.STDEV.S(K75:M75)</f>
        <v>1.6522730921812124E-3</v>
      </c>
    </row>
    <row r="76" spans="1:15" x14ac:dyDescent="0.35">
      <c r="A76" s="2" t="s">
        <v>50</v>
      </c>
      <c r="B76">
        <v>0.10029999911785126</v>
      </c>
      <c r="C76">
        <v>9.9799998104572296E-2</v>
      </c>
      <c r="D76">
        <v>0.10140000283718109</v>
      </c>
      <c r="F76" s="45">
        <v>3368.4210526315787</v>
      </c>
      <c r="G76" s="46">
        <f t="shared" si="8"/>
        <v>3.3684210526315788</v>
      </c>
      <c r="H76" s="14">
        <v>0.10029999911785126</v>
      </c>
      <c r="I76" s="14">
        <v>9.9799998104572296E-2</v>
      </c>
      <c r="J76" s="14">
        <v>0.10140000283718109</v>
      </c>
      <c r="K76" s="30">
        <f t="shared" si="9"/>
        <v>4.7399997711181641E-2</v>
      </c>
      <c r="L76" s="30">
        <f t="shared" si="10"/>
        <v>4.9499999731779099E-2</v>
      </c>
      <c r="M76" s="30">
        <f t="shared" si="11"/>
        <v>5.1100004464387894E-2</v>
      </c>
      <c r="N76" s="47">
        <f t="shared" si="12"/>
        <v>4.9333333969116211E-2</v>
      </c>
      <c r="O76" s="48">
        <f t="shared" si="13"/>
        <v>1.8556253934390882E-3</v>
      </c>
    </row>
    <row r="77" spans="1:15" x14ac:dyDescent="0.35">
      <c r="A77" s="2" t="s">
        <v>51</v>
      </c>
      <c r="B77">
        <v>0.13459999859333038</v>
      </c>
      <c r="C77">
        <v>0.13760000467300415</v>
      </c>
      <c r="D77">
        <v>0.13189999759197235</v>
      </c>
      <c r="F77" s="45">
        <v>6315.7894736842109</v>
      </c>
      <c r="G77" s="46">
        <f t="shared" si="8"/>
        <v>6.3157894736842106</v>
      </c>
      <c r="H77" s="14">
        <v>0.13459999859333038</v>
      </c>
      <c r="I77" s="14">
        <v>0.13760000467300415</v>
      </c>
      <c r="J77" s="14">
        <v>0.13189999759197235</v>
      </c>
      <c r="K77" s="30">
        <f t="shared" si="9"/>
        <v>8.1699997186660767E-2</v>
      </c>
      <c r="L77" s="30">
        <f t="shared" si="10"/>
        <v>8.7300006300210953E-2</v>
      </c>
      <c r="M77" s="30">
        <f t="shared" si="11"/>
        <v>8.1599999219179153E-2</v>
      </c>
      <c r="N77" s="47">
        <f t="shared" si="12"/>
        <v>8.3533334235350296E-2</v>
      </c>
      <c r="O77" s="48">
        <f t="shared" si="13"/>
        <v>3.2624168543468465E-3</v>
      </c>
    </row>
    <row r="78" spans="1:15" x14ac:dyDescent="0.35">
      <c r="A78" s="2" t="s">
        <v>52</v>
      </c>
      <c r="B78">
        <v>0.1882999986410141</v>
      </c>
      <c r="C78">
        <v>0.18940000236034393</v>
      </c>
      <c r="D78">
        <v>0.18610000610351563</v>
      </c>
      <c r="F78" s="45">
        <v>10526.315789473685</v>
      </c>
      <c r="G78" s="46">
        <f t="shared" si="8"/>
        <v>10.526315789473685</v>
      </c>
      <c r="H78" s="14">
        <v>0.1882999986410141</v>
      </c>
      <c r="I78" s="14">
        <v>0.18940000236034393</v>
      </c>
      <c r="J78" s="14">
        <v>0.18610000610351563</v>
      </c>
      <c r="K78" s="30">
        <f t="shared" si="9"/>
        <v>0.13539999723434448</v>
      </c>
      <c r="L78" s="30">
        <f t="shared" si="10"/>
        <v>0.13910000398755074</v>
      </c>
      <c r="M78" s="30">
        <f t="shared" si="11"/>
        <v>0.13580000773072243</v>
      </c>
      <c r="N78" s="47">
        <f t="shared" si="12"/>
        <v>0.13676666965087256</v>
      </c>
      <c r="O78" s="48">
        <f t="shared" si="13"/>
        <v>2.0306006363497993E-3</v>
      </c>
    </row>
    <row r="79" spans="1:15" x14ac:dyDescent="0.35">
      <c r="A79" s="2" t="s">
        <v>53</v>
      </c>
      <c r="B79">
        <v>0.26170000433921814</v>
      </c>
      <c r="C79">
        <v>0.25720000267028809</v>
      </c>
      <c r="D79">
        <v>0.25420001149177551</v>
      </c>
      <c r="F79" s="49">
        <v>15789.473684210527</v>
      </c>
      <c r="G79" s="50">
        <f>F79/1000</f>
        <v>15.789473684210527</v>
      </c>
      <c r="H79" s="21">
        <v>0.26170000433921814</v>
      </c>
      <c r="I79" s="21">
        <v>0.25720000267028809</v>
      </c>
      <c r="J79" s="21">
        <v>0.25420001149177551</v>
      </c>
      <c r="K79" s="51">
        <f t="shared" si="9"/>
        <v>0.20880000293254852</v>
      </c>
      <c r="L79" s="51">
        <f t="shared" si="10"/>
        <v>0.20690000429749489</v>
      </c>
      <c r="M79" s="51">
        <f t="shared" si="11"/>
        <v>0.20390001311898232</v>
      </c>
      <c r="N79" s="52">
        <f t="shared" si="12"/>
        <v>0.20653334011634192</v>
      </c>
      <c r="O79" s="53">
        <f t="shared" si="13"/>
        <v>2.4704872008509959E-3</v>
      </c>
    </row>
    <row r="84" spans="1:2" x14ac:dyDescent="0.35">
      <c r="A84" t="s">
        <v>54</v>
      </c>
      <c r="B84" s="1" t="s">
        <v>92</v>
      </c>
    </row>
  </sheetData>
  <mergeCells count="3">
    <mergeCell ref="T23:V23"/>
    <mergeCell ref="H70:J70"/>
    <mergeCell ref="K70:M70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B379-A8FC-4C2F-A825-60712FA8337F}">
  <dimension ref="A1:U84"/>
  <sheetViews>
    <sheetView workbookViewId="0">
      <selection activeCell="H64" sqref="H64"/>
    </sheetView>
  </sheetViews>
  <sheetFormatPr defaultRowHeight="14.5" x14ac:dyDescent="0.35"/>
  <cols>
    <col min="6" max="6" width="12.453125" customWidth="1"/>
    <col min="7" max="7" width="12.1796875" customWidth="1"/>
    <col min="9" max="9" width="18" customWidth="1"/>
    <col min="10" max="10" width="12.54296875" bestFit="1" customWidth="1"/>
    <col min="11" max="11" width="11.26953125" customWidth="1"/>
    <col min="14" max="16" width="12.7265625" bestFit="1" customWidth="1"/>
    <col min="17" max="17" width="13" customWidth="1"/>
    <col min="18" max="18" width="17" customWidth="1"/>
    <col min="19" max="20" width="11.81640625" bestFit="1" customWidth="1"/>
    <col min="21" max="21" width="13.7265625" customWidth="1"/>
  </cols>
  <sheetData>
    <row r="1" spans="1:21" x14ac:dyDescent="0.35">
      <c r="A1" t="s">
        <v>0</v>
      </c>
      <c r="E1" t="s">
        <v>1</v>
      </c>
    </row>
    <row r="2" spans="1:21" x14ac:dyDescent="0.35">
      <c r="A2" t="s">
        <v>2</v>
      </c>
      <c r="E2" t="s">
        <v>3</v>
      </c>
      <c r="I2" t="s">
        <v>4</v>
      </c>
    </row>
    <row r="3" spans="1:21" x14ac:dyDescent="0.35">
      <c r="A3" t="s">
        <v>5</v>
      </c>
      <c r="E3" t="s">
        <v>6</v>
      </c>
    </row>
    <row r="5" spans="1:21" x14ac:dyDescent="0.35">
      <c r="A5" t="s">
        <v>7</v>
      </c>
      <c r="B5" t="s">
        <v>8</v>
      </c>
    </row>
    <row r="6" spans="1:21" x14ac:dyDescent="0.35">
      <c r="A6" t="s">
        <v>9</v>
      </c>
      <c r="B6" s="1" t="s">
        <v>10</v>
      </c>
    </row>
    <row r="9" spans="1:21" x14ac:dyDescent="0.35">
      <c r="A9" t="s">
        <v>11</v>
      </c>
      <c r="E9" t="s">
        <v>12</v>
      </c>
    </row>
    <row r="10" spans="1:21" x14ac:dyDescent="0.35">
      <c r="A10" t="s">
        <v>13</v>
      </c>
      <c r="E10" t="s">
        <v>14</v>
      </c>
    </row>
    <row r="11" spans="1:21" x14ac:dyDescent="0.35">
      <c r="A11" t="s">
        <v>15</v>
      </c>
      <c r="E11" t="s">
        <v>16</v>
      </c>
    </row>
    <row r="12" spans="1:21" x14ac:dyDescent="0.35">
      <c r="A12" t="s">
        <v>17</v>
      </c>
    </row>
    <row r="13" spans="1:21" x14ac:dyDescent="0.35">
      <c r="I13" s="15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7"/>
    </row>
    <row r="14" spans="1:21" x14ac:dyDescent="0.35">
      <c r="I14" s="18"/>
      <c r="J14" s="14"/>
      <c r="K14" s="14"/>
      <c r="L14" s="14"/>
      <c r="M14" s="14"/>
      <c r="N14" s="14" t="s">
        <v>109</v>
      </c>
      <c r="O14" s="14">
        <v>5</v>
      </c>
      <c r="P14" s="14" t="s">
        <v>110</v>
      </c>
      <c r="Q14" s="14"/>
      <c r="R14" s="14"/>
      <c r="S14" s="14"/>
      <c r="T14" s="14"/>
      <c r="U14" s="19"/>
    </row>
    <row r="15" spans="1:21" x14ac:dyDescent="0.35">
      <c r="A15" t="s">
        <v>18</v>
      </c>
      <c r="I15" s="18"/>
      <c r="J15" s="14"/>
      <c r="K15" s="14"/>
      <c r="L15" s="14"/>
      <c r="M15" s="14"/>
      <c r="N15" s="14" t="s">
        <v>111</v>
      </c>
      <c r="O15" s="14">
        <v>150</v>
      </c>
      <c r="P15" s="14" t="s">
        <v>112</v>
      </c>
      <c r="Q15" s="14"/>
      <c r="R15" s="14"/>
      <c r="S15" s="14"/>
      <c r="T15" s="14"/>
      <c r="U15" s="19"/>
    </row>
    <row r="16" spans="1:21" x14ac:dyDescent="0.35">
      <c r="A16" t="s">
        <v>19</v>
      </c>
      <c r="E16" t="s">
        <v>20</v>
      </c>
      <c r="I16" s="18"/>
      <c r="J16" s="14"/>
      <c r="K16" s="14"/>
      <c r="L16" s="14"/>
      <c r="M16" s="14"/>
      <c r="N16" s="14" t="s">
        <v>111</v>
      </c>
      <c r="O16" s="14" cm="1">
        <f t="array" ref="O16">O15*10^{-6}</f>
        <v>1.4999999999999999E-4</v>
      </c>
      <c r="P16" s="14" t="s">
        <v>113</v>
      </c>
      <c r="Q16" s="14"/>
      <c r="R16" s="14"/>
      <c r="S16" s="14"/>
      <c r="T16" s="14"/>
      <c r="U16" s="19"/>
    </row>
    <row r="17" spans="1:21" x14ac:dyDescent="0.35">
      <c r="A17" t="s">
        <v>21</v>
      </c>
      <c r="E17">
        <v>280</v>
      </c>
      <c r="F17" t="s">
        <v>22</v>
      </c>
      <c r="I17" s="18"/>
      <c r="J17" s="14"/>
      <c r="K17" s="14"/>
      <c r="L17" s="14"/>
      <c r="M17" s="14"/>
      <c r="N17" s="14" t="s">
        <v>114</v>
      </c>
      <c r="O17" s="14">
        <f>O14*O16</f>
        <v>7.4999999999999991E-4</v>
      </c>
      <c r="P17" s="14" t="s">
        <v>115</v>
      </c>
      <c r="Q17" s="14"/>
      <c r="R17" s="14"/>
      <c r="S17" s="14"/>
      <c r="T17" s="14"/>
      <c r="U17" s="19"/>
    </row>
    <row r="18" spans="1:21" x14ac:dyDescent="0.35">
      <c r="A18" t="s">
        <v>23</v>
      </c>
      <c r="E18">
        <v>5</v>
      </c>
      <c r="F18" t="s">
        <v>22</v>
      </c>
      <c r="I18" s="18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9"/>
    </row>
    <row r="19" spans="1:21" x14ac:dyDescent="0.35">
      <c r="A19" t="s">
        <v>24</v>
      </c>
      <c r="E19">
        <v>25</v>
      </c>
      <c r="I19" s="18"/>
      <c r="J19" s="14" t="s">
        <v>25</v>
      </c>
      <c r="K19" s="14" t="s">
        <v>26</v>
      </c>
      <c r="L19" s="14"/>
      <c r="M19" s="14"/>
      <c r="N19" s="14"/>
      <c r="O19" s="14"/>
      <c r="P19" s="14"/>
      <c r="Q19" s="14"/>
      <c r="R19" s="14"/>
      <c r="S19" s="14"/>
      <c r="T19" s="14"/>
      <c r="U19" s="19"/>
    </row>
    <row r="20" spans="1:21" x14ac:dyDescent="0.35">
      <c r="A20" t="s">
        <v>27</v>
      </c>
      <c r="E20">
        <v>0</v>
      </c>
      <c r="F20" t="s">
        <v>28</v>
      </c>
      <c r="I20" s="18" t="s">
        <v>29</v>
      </c>
      <c r="J20" s="14">
        <v>5.5132599999999999E-3</v>
      </c>
      <c r="K20" s="14">
        <v>1.9888900000000001E-3</v>
      </c>
      <c r="L20" s="14"/>
      <c r="M20" s="14"/>
      <c r="N20" s="14"/>
      <c r="O20" s="14"/>
      <c r="P20" s="14"/>
      <c r="Q20" s="14"/>
      <c r="R20" s="14"/>
      <c r="S20" s="14"/>
      <c r="T20" s="14"/>
      <c r="U20" s="19"/>
    </row>
    <row r="21" spans="1:21" x14ac:dyDescent="0.35">
      <c r="A21" t="s">
        <v>30</v>
      </c>
      <c r="E21" t="s">
        <v>31</v>
      </c>
      <c r="I21" s="18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9"/>
    </row>
    <row r="22" spans="1:21" x14ac:dyDescent="0.35">
      <c r="A22" t="s">
        <v>32</v>
      </c>
      <c r="B22" s="1" t="s">
        <v>33</v>
      </c>
      <c r="I22" s="18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9"/>
    </row>
    <row r="23" spans="1:21" x14ac:dyDescent="0.35">
      <c r="I23" s="18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9"/>
    </row>
    <row r="24" spans="1:21" x14ac:dyDescent="0.35">
      <c r="B24" t="s">
        <v>34</v>
      </c>
      <c r="I24" s="18"/>
      <c r="J24" s="14"/>
      <c r="K24" s="54" t="s">
        <v>69</v>
      </c>
      <c r="L24" s="54"/>
      <c r="M24" s="54"/>
      <c r="N24" s="14"/>
      <c r="O24" s="14"/>
      <c r="P24" s="14"/>
      <c r="Q24" s="14"/>
      <c r="R24" s="54" t="s">
        <v>116</v>
      </c>
      <c r="S24" s="54"/>
      <c r="T24" s="54"/>
      <c r="U24" s="55"/>
    </row>
    <row r="25" spans="1:21" x14ac:dyDescent="0.35">
      <c r="A25" s="2" t="s">
        <v>35</v>
      </c>
      <c r="B25" s="2">
        <v>10</v>
      </c>
      <c r="C25" s="2">
        <v>11</v>
      </c>
      <c r="D25" s="2">
        <v>12</v>
      </c>
      <c r="I25" s="56" t="s">
        <v>36</v>
      </c>
      <c r="J25" s="28" t="s">
        <v>37</v>
      </c>
      <c r="K25" s="29">
        <v>10</v>
      </c>
      <c r="L25" s="29">
        <v>11</v>
      </c>
      <c r="M25" s="29">
        <v>12</v>
      </c>
      <c r="N25" s="57" t="s">
        <v>38</v>
      </c>
      <c r="O25" s="57" t="s">
        <v>39</v>
      </c>
      <c r="P25" s="57" t="s">
        <v>40</v>
      </c>
      <c r="Q25" s="58" t="s">
        <v>41</v>
      </c>
      <c r="R25" s="59" t="s">
        <v>42</v>
      </c>
      <c r="S25" s="59" t="s">
        <v>43</v>
      </c>
      <c r="T25" s="59" t="s">
        <v>44</v>
      </c>
      <c r="U25" s="60" t="s">
        <v>45</v>
      </c>
    </row>
    <row r="26" spans="1:21" x14ac:dyDescent="0.35">
      <c r="A26" s="2" t="s">
        <v>46</v>
      </c>
      <c r="B26">
        <v>6.080000102519989E-2</v>
      </c>
      <c r="C26">
        <v>5.8800000697374344E-2</v>
      </c>
      <c r="D26">
        <v>5.9799998998641968E-2</v>
      </c>
      <c r="I26" s="34">
        <v>0</v>
      </c>
      <c r="J26" s="14">
        <f>I26/1000</f>
        <v>0</v>
      </c>
      <c r="K26" s="14">
        <f>B26-$B$26</f>
        <v>0</v>
      </c>
      <c r="L26" s="14">
        <f>C26-$C$26</f>
        <v>0</v>
      </c>
      <c r="M26" s="14">
        <f>D26-$D$26</f>
        <v>0</v>
      </c>
      <c r="N26" s="61">
        <f>(K26-$K$20)/$J$20</f>
        <v>-0.36074663629141379</v>
      </c>
      <c r="O26" s="61">
        <f>(L26-$K$20)/$J$20</f>
        <v>-0.36074663629141379</v>
      </c>
      <c r="P26" s="61">
        <f>(M26-$K$20)/$J$20</f>
        <v>-0.36074663629141379</v>
      </c>
      <c r="Q26" s="62">
        <f>AVERAGE(N26:P26)</f>
        <v>-0.36074663629141379</v>
      </c>
      <c r="R26" s="63">
        <f>(J26-N26)*$O$16/$O$17</f>
        <v>7.2149327258282756E-2</v>
      </c>
      <c r="S26" s="63">
        <f>(J26-O26)*$O$16/$O$17</f>
        <v>7.2149327258282756E-2</v>
      </c>
      <c r="T26" s="63">
        <f>(J26-P26)*$O$16/$O$17</f>
        <v>7.2149327258282756E-2</v>
      </c>
      <c r="U26" s="33">
        <f>AVERAGE(R26:T26)</f>
        <v>7.2149327258282756E-2</v>
      </c>
    </row>
    <row r="27" spans="1:21" x14ac:dyDescent="0.35">
      <c r="A27" s="2" t="s">
        <v>47</v>
      </c>
      <c r="B27">
        <v>6.419999897480011E-2</v>
      </c>
      <c r="C27">
        <v>6.4699999988079071E-2</v>
      </c>
      <c r="D27">
        <v>6.4300000667572021E-2</v>
      </c>
      <c r="I27" s="34">
        <v>3000</v>
      </c>
      <c r="J27" s="14">
        <f t="shared" ref="J27:J33" si="0">I27/1000</f>
        <v>3</v>
      </c>
      <c r="K27" s="14">
        <f t="shared" ref="K27:K33" si="1">B27-$B$26</f>
        <v>3.3999979496002197E-3</v>
      </c>
      <c r="L27" s="14">
        <f t="shared" ref="L27:L33" si="2">C27-$C$26</f>
        <v>5.8999992907047272E-3</v>
      </c>
      <c r="M27" s="14">
        <f t="shared" ref="M27:M33" si="3">D27-$D$26</f>
        <v>4.5000016689300537E-3</v>
      </c>
      <c r="N27" s="61">
        <f t="shared" ref="N27:P33" si="4">(K27-$K$20)/$J$20</f>
        <v>0.25594801435089576</v>
      </c>
      <c r="O27" s="61">
        <f t="shared" si="4"/>
        <v>0.70940048006165635</v>
      </c>
      <c r="P27" s="61">
        <f t="shared" si="4"/>
        <v>0.45546766684866191</v>
      </c>
      <c r="Q27" s="62">
        <f t="shared" ref="Q27:Q33" si="5">AVERAGE(N27:P27)</f>
        <v>0.47360538708707134</v>
      </c>
      <c r="R27" s="63">
        <f t="shared" ref="R27:R32" si="6">(J27-N27)*$O$16/$O$17</f>
        <v>0.54881039712982094</v>
      </c>
      <c r="S27" s="63">
        <f t="shared" ref="S27:S33" si="7">(J27-O27)*$O$16/$O$17</f>
        <v>0.45811990398766872</v>
      </c>
      <c r="T27" s="63">
        <f t="shared" ref="T27:T33" si="8">(J27-P27)*$O$16/$O$17</f>
        <v>0.50890646663026751</v>
      </c>
      <c r="U27" s="33">
        <f t="shared" ref="U27:U33" si="9">AVERAGE(R27:T27)</f>
        <v>0.50527892258258567</v>
      </c>
    </row>
    <row r="28" spans="1:21" x14ac:dyDescent="0.35">
      <c r="A28" s="2" t="s">
        <v>48</v>
      </c>
      <c r="B28">
        <v>6.8099997937679291E-2</v>
      </c>
      <c r="C28">
        <v>7.0699997246265411E-2</v>
      </c>
      <c r="D28">
        <v>7.5099997222423553E-2</v>
      </c>
      <c r="I28" s="34">
        <v>5000</v>
      </c>
      <c r="J28" s="14">
        <f t="shared" si="0"/>
        <v>5</v>
      </c>
      <c r="K28" s="14">
        <f t="shared" si="1"/>
        <v>7.2999969124794006E-3</v>
      </c>
      <c r="L28" s="14">
        <f t="shared" si="2"/>
        <v>1.1899996548891068E-2</v>
      </c>
      <c r="M28" s="14">
        <f t="shared" si="3"/>
        <v>1.5299998223781586E-2</v>
      </c>
      <c r="N28" s="61">
        <f t="shared" si="4"/>
        <v>0.96333329327465067</v>
      </c>
      <c r="O28" s="61">
        <f t="shared" si="4"/>
        <v>1.7976853166531359</v>
      </c>
      <c r="P28" s="61">
        <f t="shared" si="4"/>
        <v>2.4143806429919117</v>
      </c>
      <c r="Q28" s="62">
        <f t="shared" si="5"/>
        <v>1.725133084306566</v>
      </c>
      <c r="R28" s="63">
        <f t="shared" si="6"/>
        <v>0.80733334134506995</v>
      </c>
      <c r="S28" s="63">
        <f t="shared" si="7"/>
        <v>0.64046293666937282</v>
      </c>
      <c r="T28" s="63">
        <f t="shared" si="8"/>
        <v>0.51712387140161775</v>
      </c>
      <c r="U28" s="33">
        <f t="shared" si="9"/>
        <v>0.65497338313868692</v>
      </c>
    </row>
    <row r="29" spans="1:21" x14ac:dyDescent="0.35">
      <c r="A29" s="2" t="s">
        <v>49</v>
      </c>
      <c r="B29">
        <v>7.4600003659725189E-2</v>
      </c>
      <c r="C29">
        <v>7.1199998259544373E-2</v>
      </c>
      <c r="D29">
        <v>6.9600000977516174E-2</v>
      </c>
      <c r="I29" s="34">
        <v>7000</v>
      </c>
      <c r="J29" s="14">
        <f t="shared" si="0"/>
        <v>7</v>
      </c>
      <c r="K29" s="14">
        <f t="shared" si="1"/>
        <v>1.3800002634525299E-2</v>
      </c>
      <c r="L29" s="14">
        <f t="shared" si="2"/>
        <v>1.2399997562170029E-2</v>
      </c>
      <c r="M29" s="14">
        <f t="shared" si="3"/>
        <v>9.8000019788742065E-3</v>
      </c>
      <c r="N29" s="61">
        <f t="shared" si="4"/>
        <v>2.1423101095405075</v>
      </c>
      <c r="O29" s="61">
        <f t="shared" si="4"/>
        <v>1.8883759449345812</v>
      </c>
      <c r="P29" s="61">
        <f t="shared" si="4"/>
        <v>1.4167864346818773</v>
      </c>
      <c r="Q29" s="62">
        <f t="shared" si="5"/>
        <v>1.815824163052322</v>
      </c>
      <c r="R29" s="63">
        <f t="shared" si="6"/>
        <v>0.97153797809189857</v>
      </c>
      <c r="S29" s="63">
        <f t="shared" si="7"/>
        <v>1.0223248110130838</v>
      </c>
      <c r="T29" s="63">
        <f t="shared" si="8"/>
        <v>1.1166427130636247</v>
      </c>
      <c r="U29" s="33">
        <f t="shared" si="9"/>
        <v>1.0368351673895357</v>
      </c>
    </row>
    <row r="30" spans="1:21" x14ac:dyDescent="0.35">
      <c r="A30" s="2" t="s">
        <v>50</v>
      </c>
      <c r="B30">
        <v>7.8000001609325409E-2</v>
      </c>
      <c r="C30">
        <v>7.6300002634525299E-2</v>
      </c>
      <c r="D30">
        <v>8.2199998199939728E-2</v>
      </c>
      <c r="I30" s="34">
        <v>10000</v>
      </c>
      <c r="J30" s="14">
        <f t="shared" si="0"/>
        <v>10</v>
      </c>
      <c r="K30" s="14">
        <f t="shared" si="1"/>
        <v>1.7200000584125519E-2</v>
      </c>
      <c r="L30" s="14">
        <f t="shared" si="2"/>
        <v>1.7500001937150955E-2</v>
      </c>
      <c r="M30" s="14">
        <f t="shared" si="3"/>
        <v>2.239999920129776E-2</v>
      </c>
      <c r="N30" s="61">
        <f t="shared" si="4"/>
        <v>2.7590047601828172</v>
      </c>
      <c r="O30" s="61">
        <f t="shared" si="4"/>
        <v>2.8134192722909779</v>
      </c>
      <c r="P30" s="61">
        <f t="shared" si="4"/>
        <v>3.7021851320811572</v>
      </c>
      <c r="Q30" s="62">
        <f t="shared" si="5"/>
        <v>3.0915363881849842</v>
      </c>
      <c r="R30" s="63">
        <f t="shared" si="6"/>
        <v>1.4481990479634366</v>
      </c>
      <c r="S30" s="63">
        <f t="shared" si="7"/>
        <v>1.4373161455418046</v>
      </c>
      <c r="T30" s="63">
        <f t="shared" si="8"/>
        <v>1.2595629735837688</v>
      </c>
      <c r="U30" s="33">
        <f t="shared" si="9"/>
        <v>1.3816927223630033</v>
      </c>
    </row>
    <row r="31" spans="1:21" x14ac:dyDescent="0.35">
      <c r="A31" s="2" t="s">
        <v>51</v>
      </c>
      <c r="B31">
        <v>8.3099998533725739E-2</v>
      </c>
      <c r="C31">
        <v>8.8399998843669891E-2</v>
      </c>
      <c r="D31">
        <v>9.0800002217292786E-2</v>
      </c>
      <c r="I31" s="34">
        <v>14000</v>
      </c>
      <c r="J31" s="14">
        <f t="shared" si="0"/>
        <v>14</v>
      </c>
      <c r="K31" s="14">
        <f t="shared" si="1"/>
        <v>2.2299997508525848E-2</v>
      </c>
      <c r="L31" s="14">
        <f t="shared" si="2"/>
        <v>2.9599998146295547E-2</v>
      </c>
      <c r="M31" s="14">
        <f t="shared" si="3"/>
        <v>3.1000003218650818E-2</v>
      </c>
      <c r="N31" s="61">
        <f t="shared" si="4"/>
        <v>3.6840467361462816</v>
      </c>
      <c r="O31" s="61">
        <f t="shared" si="4"/>
        <v>5.0081273414088123</v>
      </c>
      <c r="P31" s="61">
        <f t="shared" si="4"/>
        <v>5.2620615060147387</v>
      </c>
      <c r="Q31" s="62">
        <f t="shared" si="5"/>
        <v>4.6514118611899447</v>
      </c>
      <c r="R31" s="63">
        <f>(J31-N31)*$O$16/$O$17</f>
        <v>2.0631906527707438</v>
      </c>
      <c r="S31" s="63">
        <f t="shared" si="7"/>
        <v>1.7983745317182376</v>
      </c>
      <c r="T31" s="63">
        <f t="shared" si="8"/>
        <v>1.7475876987970524</v>
      </c>
      <c r="U31" s="33">
        <f t="shared" si="9"/>
        <v>1.8697176277620111</v>
      </c>
    </row>
    <row r="32" spans="1:21" x14ac:dyDescent="0.35">
      <c r="A32" s="2" t="s">
        <v>52</v>
      </c>
      <c r="B32">
        <v>9.6100002527236938E-2</v>
      </c>
      <c r="C32">
        <v>0.10440000146627426</v>
      </c>
      <c r="D32">
        <v>0.10029999911785126</v>
      </c>
      <c r="I32" s="34">
        <v>20000</v>
      </c>
      <c r="J32" s="14">
        <f t="shared" si="0"/>
        <v>20</v>
      </c>
      <c r="K32" s="14">
        <f t="shared" si="1"/>
        <v>3.5300001502037048E-2</v>
      </c>
      <c r="L32" s="14">
        <f t="shared" si="2"/>
        <v>4.5600000768899918E-2</v>
      </c>
      <c r="M32" s="14">
        <f t="shared" si="3"/>
        <v>4.050000011920929E-2</v>
      </c>
      <c r="N32" s="61">
        <f t="shared" si="4"/>
        <v>6.0419990172850637</v>
      </c>
      <c r="O32" s="61">
        <f t="shared" si="4"/>
        <v>7.9102220408433341</v>
      </c>
      <c r="P32" s="61">
        <f t="shared" si="4"/>
        <v>6.9851793891834033</v>
      </c>
      <c r="Q32" s="62">
        <f t="shared" si="5"/>
        <v>6.9791334824372671</v>
      </c>
      <c r="R32" s="63">
        <f t="shared" si="6"/>
        <v>2.7916001965429871</v>
      </c>
      <c r="S32" s="63">
        <f t="shared" si="7"/>
        <v>2.4179555918313334</v>
      </c>
      <c r="T32" s="63">
        <f t="shared" si="8"/>
        <v>2.6029641221633191</v>
      </c>
      <c r="U32" s="33">
        <f t="shared" si="9"/>
        <v>2.6041733035125465</v>
      </c>
    </row>
    <row r="33" spans="1:21" x14ac:dyDescent="0.35">
      <c r="A33" s="2" t="s">
        <v>53</v>
      </c>
      <c r="B33">
        <v>0.11649999767541885</v>
      </c>
      <c r="C33">
        <v>0.13169999420642853</v>
      </c>
      <c r="D33">
        <v>0.12790000438690186</v>
      </c>
      <c r="I33" s="39">
        <v>28000</v>
      </c>
      <c r="J33" s="21">
        <f t="shared" si="0"/>
        <v>28</v>
      </c>
      <c r="K33" s="21">
        <f t="shared" si="1"/>
        <v>5.5699996650218964E-2</v>
      </c>
      <c r="L33" s="21">
        <f t="shared" si="2"/>
        <v>7.2899993509054184E-2</v>
      </c>
      <c r="M33" s="21">
        <f t="shared" si="3"/>
        <v>6.8100005388259888E-2</v>
      </c>
      <c r="N33" s="64">
        <f t="shared" si="4"/>
        <v>9.7421682725318526</v>
      </c>
      <c r="O33" s="64">
        <f t="shared" si="4"/>
        <v>12.861918993309619</v>
      </c>
      <c r="P33" s="64">
        <f t="shared" si="4"/>
        <v>11.991292880847247</v>
      </c>
      <c r="Q33" s="65">
        <f t="shared" si="5"/>
        <v>11.531793382229573</v>
      </c>
      <c r="R33" s="66">
        <f>(J33-N33)*$O$16/$O$17</f>
        <v>3.6515663454936296</v>
      </c>
      <c r="S33" s="66">
        <f t="shared" si="7"/>
        <v>3.0276162013380765</v>
      </c>
      <c r="T33" s="66">
        <f t="shared" si="8"/>
        <v>3.2017414238305508</v>
      </c>
      <c r="U33" s="67">
        <f t="shared" si="9"/>
        <v>3.2936413235540858</v>
      </c>
    </row>
    <row r="34" spans="1:21" x14ac:dyDescent="0.35"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</row>
    <row r="35" spans="1:21" x14ac:dyDescent="0.35"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</row>
    <row r="38" spans="1:21" x14ac:dyDescent="0.35">
      <c r="A38" t="s">
        <v>54</v>
      </c>
      <c r="B38" s="1" t="s">
        <v>55</v>
      </c>
    </row>
    <row r="41" spans="1:21" s="7" customFormat="1" x14ac:dyDescent="0.35">
      <c r="A41" s="6" t="s">
        <v>56</v>
      </c>
    </row>
    <row r="42" spans="1:21" x14ac:dyDescent="0.35">
      <c r="A42" t="s">
        <v>0</v>
      </c>
      <c r="E42" t="s">
        <v>1</v>
      </c>
    </row>
    <row r="43" spans="1:21" x14ac:dyDescent="0.35">
      <c r="A43" t="s">
        <v>2</v>
      </c>
      <c r="E43" t="s">
        <v>3</v>
      </c>
      <c r="I43" t="s">
        <v>4</v>
      </c>
    </row>
    <row r="44" spans="1:21" x14ac:dyDescent="0.35">
      <c r="A44" t="s">
        <v>5</v>
      </c>
      <c r="E44" t="s">
        <v>6</v>
      </c>
    </row>
    <row r="46" spans="1:21" x14ac:dyDescent="0.35">
      <c r="A46" t="s">
        <v>7</v>
      </c>
      <c r="B46" t="s">
        <v>8</v>
      </c>
    </row>
    <row r="47" spans="1:21" x14ac:dyDescent="0.35">
      <c r="A47" t="s">
        <v>9</v>
      </c>
      <c r="B47" s="1" t="s">
        <v>57</v>
      </c>
    </row>
    <row r="50" spans="1:12" x14ac:dyDescent="0.35">
      <c r="A50" t="s">
        <v>11</v>
      </c>
      <c r="E50" t="s">
        <v>12</v>
      </c>
    </row>
    <row r="51" spans="1:12" x14ac:dyDescent="0.35">
      <c r="A51" t="s">
        <v>13</v>
      </c>
      <c r="E51" t="s">
        <v>14</v>
      </c>
    </row>
    <row r="52" spans="1:12" x14ac:dyDescent="0.35">
      <c r="A52" t="s">
        <v>15</v>
      </c>
      <c r="E52" t="s">
        <v>16</v>
      </c>
    </row>
    <row r="53" spans="1:12" x14ac:dyDescent="0.35">
      <c r="A53" t="s">
        <v>17</v>
      </c>
    </row>
    <row r="55" spans="1:12" x14ac:dyDescent="0.35">
      <c r="A55" s="4" t="s">
        <v>58</v>
      </c>
      <c r="B55" s="4"/>
      <c r="C55" s="4"/>
      <c r="D55" s="4"/>
      <c r="E55" s="4">
        <v>5</v>
      </c>
      <c r="F55" s="4" t="s">
        <v>59</v>
      </c>
      <c r="G55" s="4"/>
      <c r="H55" s="4"/>
      <c r="I55" s="4"/>
      <c r="J55" s="4"/>
      <c r="K55" s="4"/>
      <c r="L55" s="4"/>
    </row>
    <row r="56" spans="1:12" x14ac:dyDescent="0.35">
      <c r="A56" s="4" t="s">
        <v>60</v>
      </c>
      <c r="B56" s="4"/>
      <c r="C56" s="4"/>
      <c r="D56" s="4"/>
      <c r="E56" s="4">
        <v>1</v>
      </c>
      <c r="F56" s="4" t="s">
        <v>61</v>
      </c>
      <c r="G56" s="4"/>
      <c r="H56" s="4"/>
      <c r="I56" s="4"/>
      <c r="J56" s="4"/>
      <c r="K56" s="4"/>
      <c r="L56" s="4"/>
    </row>
    <row r="58" spans="1:12" x14ac:dyDescent="0.35">
      <c r="A58" s="4" t="s">
        <v>62</v>
      </c>
      <c r="B58" s="4"/>
      <c r="C58" s="4"/>
      <c r="D58" s="4"/>
      <c r="E58" s="5">
        <v>1.3888888888888889E-3</v>
      </c>
      <c r="F58" s="4"/>
      <c r="G58" s="4"/>
      <c r="H58" s="4"/>
      <c r="I58" s="4"/>
      <c r="J58" s="4"/>
      <c r="K58" s="4"/>
      <c r="L58" s="4"/>
    </row>
    <row r="61" spans="1:12" x14ac:dyDescent="0.35">
      <c r="A61" t="s">
        <v>18</v>
      </c>
    </row>
    <row r="62" spans="1:12" x14ac:dyDescent="0.35">
      <c r="A62" t="s">
        <v>19</v>
      </c>
      <c r="E62" t="s">
        <v>20</v>
      </c>
    </row>
    <row r="63" spans="1:12" x14ac:dyDescent="0.35">
      <c r="A63" t="s">
        <v>21</v>
      </c>
      <c r="E63">
        <v>280</v>
      </c>
      <c r="F63" t="s">
        <v>22</v>
      </c>
    </row>
    <row r="64" spans="1:12" x14ac:dyDescent="0.35">
      <c r="A64" t="s">
        <v>23</v>
      </c>
      <c r="E64">
        <v>5</v>
      </c>
      <c r="F64" t="s">
        <v>22</v>
      </c>
    </row>
    <row r="65" spans="1:12" x14ac:dyDescent="0.35">
      <c r="A65" t="s">
        <v>24</v>
      </c>
      <c r="E65">
        <v>25</v>
      </c>
    </row>
    <row r="66" spans="1:12" x14ac:dyDescent="0.35">
      <c r="A66" t="s">
        <v>27</v>
      </c>
      <c r="E66">
        <v>0</v>
      </c>
      <c r="F66" t="s">
        <v>28</v>
      </c>
    </row>
    <row r="67" spans="1:12" x14ac:dyDescent="0.35">
      <c r="A67" t="s">
        <v>30</v>
      </c>
      <c r="E67" t="s">
        <v>63</v>
      </c>
    </row>
    <row r="68" spans="1:12" x14ac:dyDescent="0.35">
      <c r="A68" t="s">
        <v>32</v>
      </c>
      <c r="B68" s="1" t="s">
        <v>64</v>
      </c>
    </row>
    <row r="70" spans="1:12" x14ac:dyDescent="0.35">
      <c r="B70" t="s">
        <v>65</v>
      </c>
      <c r="F70" s="68"/>
      <c r="G70" s="69"/>
      <c r="H70" s="69"/>
      <c r="I70" s="69"/>
      <c r="J70" s="69"/>
      <c r="K70" s="69"/>
      <c r="L70" s="70"/>
    </row>
    <row r="71" spans="1:12" x14ac:dyDescent="0.35">
      <c r="A71" s="2" t="s">
        <v>35</v>
      </c>
      <c r="B71" s="2">
        <v>1</v>
      </c>
      <c r="C71" s="2">
        <v>2</v>
      </c>
      <c r="D71" s="2">
        <v>3</v>
      </c>
      <c r="F71" s="18" t="s">
        <v>36</v>
      </c>
      <c r="G71" s="14" t="s">
        <v>37</v>
      </c>
      <c r="H71" s="29">
        <v>1</v>
      </c>
      <c r="I71" s="29">
        <v>2</v>
      </c>
      <c r="J71" s="29">
        <v>3</v>
      </c>
      <c r="K71" s="14" t="s">
        <v>66</v>
      </c>
      <c r="L71" s="19" t="s">
        <v>67</v>
      </c>
    </row>
    <row r="72" spans="1:12" x14ac:dyDescent="0.35">
      <c r="A72" s="2" t="s">
        <v>46</v>
      </c>
      <c r="B72">
        <v>5.090000107884407E-2</v>
      </c>
      <c r="C72">
        <v>4.9100000411272049E-2</v>
      </c>
      <c r="D72">
        <v>4.8999998718500137E-2</v>
      </c>
      <c r="F72" s="18">
        <v>0</v>
      </c>
      <c r="G72" s="71">
        <f>F72/1000</f>
        <v>0</v>
      </c>
      <c r="H72" s="14">
        <f>B72-$B$72</f>
        <v>0</v>
      </c>
      <c r="I72" s="14">
        <f>C72-$C$72</f>
        <v>0</v>
      </c>
      <c r="J72" s="14">
        <f>D72-$D$72</f>
        <v>0</v>
      </c>
      <c r="K72" s="14">
        <f>AVERAGE(H72:J72)</f>
        <v>0</v>
      </c>
      <c r="L72" s="19">
        <f>_xlfn.STDEV.P(H72:J72)</f>
        <v>0</v>
      </c>
    </row>
    <row r="73" spans="1:12" x14ac:dyDescent="0.35">
      <c r="A73" s="2" t="s">
        <v>47</v>
      </c>
      <c r="B73">
        <v>8.0799996852874756E-2</v>
      </c>
      <c r="C73">
        <v>8.1100001931190491E-2</v>
      </c>
      <c r="D73">
        <v>7.890000194311142E-2</v>
      </c>
      <c r="F73" s="18">
        <v>5000</v>
      </c>
      <c r="G73" s="71">
        <f t="shared" ref="G73:G79" si="10">F73/1000</f>
        <v>5</v>
      </c>
      <c r="H73" s="14">
        <f t="shared" ref="H73:H79" si="11">B73-$B$72</f>
        <v>2.9899995774030685E-2</v>
      </c>
      <c r="I73" s="14">
        <f t="shared" ref="I73:I79" si="12">C73-$C$72</f>
        <v>3.2000001519918442E-2</v>
      </c>
      <c r="J73" s="14">
        <f t="shared" ref="J73:J79" si="13">D73-$D$72</f>
        <v>2.9900003224611282E-2</v>
      </c>
      <c r="K73" s="14">
        <f t="shared" ref="K73:K79" si="14">AVERAGE(H73:J73)</f>
        <v>3.060000017285347E-2</v>
      </c>
      <c r="L73" s="19">
        <f t="shared" ref="L73:L79" si="15">_xlfn.STDEV.P(H73:J73)</f>
        <v>9.899504461846158E-4</v>
      </c>
    </row>
    <row r="74" spans="1:12" x14ac:dyDescent="0.35">
      <c r="A74" s="2" t="s">
        <v>48</v>
      </c>
      <c r="B74">
        <v>0.10199999809265137</v>
      </c>
      <c r="C74">
        <v>9.8800003528594971E-2</v>
      </c>
      <c r="D74">
        <v>0.10069999843835831</v>
      </c>
      <c r="F74" s="18">
        <v>8333.3333333333339</v>
      </c>
      <c r="G74" s="71">
        <f t="shared" si="10"/>
        <v>8.3333333333333339</v>
      </c>
      <c r="H74" s="14">
        <f t="shared" si="11"/>
        <v>5.1099997013807297E-2</v>
      </c>
      <c r="I74" s="14">
        <f t="shared" si="12"/>
        <v>4.9700003117322922E-2</v>
      </c>
      <c r="J74" s="14">
        <f t="shared" si="13"/>
        <v>5.169999971985817E-2</v>
      </c>
      <c r="K74" s="14">
        <f t="shared" si="14"/>
        <v>5.0833333283662796E-2</v>
      </c>
      <c r="L74" s="19">
        <f t="shared" si="15"/>
        <v>8.37985187326947E-4</v>
      </c>
    </row>
    <row r="75" spans="1:12" x14ac:dyDescent="0.35">
      <c r="A75" s="2" t="s">
        <v>49</v>
      </c>
      <c r="B75">
        <v>0.11749999970197678</v>
      </c>
      <c r="C75">
        <v>0.11720000207424164</v>
      </c>
      <c r="D75">
        <v>0.11559999734163284</v>
      </c>
      <c r="F75" s="18">
        <v>11666.666666666666</v>
      </c>
      <c r="G75" s="71">
        <f t="shared" si="10"/>
        <v>11.666666666666666</v>
      </c>
      <c r="H75" s="14">
        <f t="shared" si="11"/>
        <v>6.6599998623132706E-2</v>
      </c>
      <c r="I75" s="14">
        <f t="shared" si="12"/>
        <v>6.8100001662969589E-2</v>
      </c>
      <c r="J75" s="14">
        <f t="shared" si="13"/>
        <v>6.6599998623132706E-2</v>
      </c>
      <c r="K75" s="14">
        <f t="shared" si="14"/>
        <v>6.7099999636411667E-2</v>
      </c>
      <c r="L75" s="19">
        <f t="shared" si="15"/>
        <v>7.0710821417939689E-4</v>
      </c>
    </row>
    <row r="76" spans="1:12" x14ac:dyDescent="0.35">
      <c r="A76" s="2" t="s">
        <v>50</v>
      </c>
      <c r="B76">
        <v>0.14120000600814819</v>
      </c>
      <c r="C76">
        <v>0.14440000057220459</v>
      </c>
      <c r="D76">
        <v>0.14759999513626099</v>
      </c>
      <c r="F76" s="18">
        <v>16666.666666666668</v>
      </c>
      <c r="G76" s="71">
        <f t="shared" si="10"/>
        <v>16.666666666666668</v>
      </c>
      <c r="H76" s="14">
        <f t="shared" si="11"/>
        <v>9.0300004929304123E-2</v>
      </c>
      <c r="I76" s="14">
        <f t="shared" si="12"/>
        <v>9.5300000160932541E-2</v>
      </c>
      <c r="J76" s="14">
        <f t="shared" si="13"/>
        <v>9.8599996417760849E-2</v>
      </c>
      <c r="K76" s="14">
        <f t="shared" si="14"/>
        <v>9.4733333835999176E-2</v>
      </c>
      <c r="L76" s="19">
        <f t="shared" si="15"/>
        <v>3.4120665995819059E-3</v>
      </c>
    </row>
    <row r="77" spans="1:12" x14ac:dyDescent="0.35">
      <c r="A77" s="2" t="s">
        <v>51</v>
      </c>
      <c r="B77">
        <v>0.16590000689029694</v>
      </c>
      <c r="C77">
        <v>0.18449999392032623</v>
      </c>
      <c r="D77">
        <v>0.17669999599456787</v>
      </c>
      <c r="F77" s="18">
        <v>23333.333333333332</v>
      </c>
      <c r="G77" s="71">
        <f t="shared" si="10"/>
        <v>23.333333333333332</v>
      </c>
      <c r="H77" s="14">
        <f t="shared" si="11"/>
        <v>0.11500000581145287</v>
      </c>
      <c r="I77" s="14">
        <f t="shared" si="12"/>
        <v>0.13539999350905418</v>
      </c>
      <c r="J77" s="14">
        <f t="shared" si="13"/>
        <v>0.12769999727606773</v>
      </c>
      <c r="K77" s="14">
        <f t="shared" si="14"/>
        <v>0.12603333219885826</v>
      </c>
      <c r="L77" s="19">
        <f t="shared" si="15"/>
        <v>8.4112307413070665E-3</v>
      </c>
    </row>
    <row r="78" spans="1:12" x14ac:dyDescent="0.35">
      <c r="A78" s="2" t="s">
        <v>52</v>
      </c>
      <c r="B78">
        <v>0.23190000653266907</v>
      </c>
      <c r="C78">
        <v>0.23389999568462372</v>
      </c>
      <c r="D78">
        <v>0.23870000243186951</v>
      </c>
      <c r="F78" s="18">
        <v>33333.333333333336</v>
      </c>
      <c r="G78" s="71">
        <f t="shared" si="10"/>
        <v>33.333333333333336</v>
      </c>
      <c r="H78" s="14">
        <f t="shared" si="11"/>
        <v>0.181000005453825</v>
      </c>
      <c r="I78" s="14">
        <f t="shared" si="12"/>
        <v>0.18479999527335167</v>
      </c>
      <c r="J78" s="14">
        <f t="shared" si="13"/>
        <v>0.18970000371336937</v>
      </c>
      <c r="K78" s="14">
        <f t="shared" si="14"/>
        <v>0.18516666814684868</v>
      </c>
      <c r="L78" s="19">
        <f t="shared" si="15"/>
        <v>3.5612103912516123E-3</v>
      </c>
    </row>
    <row r="79" spans="1:12" x14ac:dyDescent="0.35">
      <c r="A79" s="2" t="s">
        <v>53</v>
      </c>
      <c r="B79">
        <v>0.30480000376701355</v>
      </c>
      <c r="C79">
        <v>0.31279999017715454</v>
      </c>
      <c r="D79">
        <v>0.31400001049041748</v>
      </c>
      <c r="F79" s="20">
        <v>46666.666666666664</v>
      </c>
      <c r="G79" s="72">
        <f t="shared" si="10"/>
        <v>46.666666666666664</v>
      </c>
      <c r="H79" s="21">
        <f t="shared" si="11"/>
        <v>0.25390000268816948</v>
      </c>
      <c r="I79" s="21">
        <f t="shared" si="12"/>
        <v>0.26369998976588249</v>
      </c>
      <c r="J79" s="21">
        <f t="shared" si="13"/>
        <v>0.26500001177191734</v>
      </c>
      <c r="K79" s="21">
        <f t="shared" si="14"/>
        <v>0.2608666680753231</v>
      </c>
      <c r="L79" s="22">
        <f t="shared" si="15"/>
        <v>4.9546835934273338E-3</v>
      </c>
    </row>
    <row r="84" spans="1:2" x14ac:dyDescent="0.35">
      <c r="A84" t="s">
        <v>54</v>
      </c>
      <c r="B84" s="1" t="s">
        <v>68</v>
      </c>
    </row>
  </sheetData>
  <mergeCells count="2">
    <mergeCell ref="K24:M24"/>
    <mergeCell ref="R24:U24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7DC9A-3D51-48B2-A6B8-622A063AA765}">
  <dimension ref="A1:W84"/>
  <sheetViews>
    <sheetView workbookViewId="0">
      <selection activeCell="H74" sqref="H74"/>
    </sheetView>
  </sheetViews>
  <sheetFormatPr defaultRowHeight="14.5" x14ac:dyDescent="0.35"/>
  <sheetData>
    <row r="1" spans="1:22" x14ac:dyDescent="0.35">
      <c r="A1" t="s">
        <v>0</v>
      </c>
      <c r="E1" t="s">
        <v>1</v>
      </c>
    </row>
    <row r="2" spans="1:22" x14ac:dyDescent="0.35">
      <c r="A2" t="s">
        <v>2</v>
      </c>
      <c r="E2" t="s">
        <v>3</v>
      </c>
      <c r="I2" t="s">
        <v>4</v>
      </c>
    </row>
    <row r="3" spans="1:22" x14ac:dyDescent="0.35">
      <c r="A3" t="s">
        <v>5</v>
      </c>
      <c r="E3" t="s">
        <v>6</v>
      </c>
    </row>
    <row r="5" spans="1:22" x14ac:dyDescent="0.35">
      <c r="A5" t="s">
        <v>7</v>
      </c>
      <c r="B5" t="s">
        <v>93</v>
      </c>
    </row>
    <row r="6" spans="1:22" x14ac:dyDescent="0.35">
      <c r="A6" t="s">
        <v>9</v>
      </c>
      <c r="B6" s="1" t="s">
        <v>94</v>
      </c>
    </row>
    <row r="9" spans="1:22" x14ac:dyDescent="0.35">
      <c r="A9" t="s">
        <v>11</v>
      </c>
      <c r="E9" t="s">
        <v>12</v>
      </c>
    </row>
    <row r="10" spans="1:22" x14ac:dyDescent="0.35">
      <c r="A10" t="s">
        <v>13</v>
      </c>
      <c r="E10" t="s">
        <v>14</v>
      </c>
    </row>
    <row r="11" spans="1:22" x14ac:dyDescent="0.35">
      <c r="A11" t="s">
        <v>15</v>
      </c>
      <c r="E11" t="s">
        <v>16</v>
      </c>
    </row>
    <row r="12" spans="1:22" x14ac:dyDescent="0.35">
      <c r="A12" t="s">
        <v>17</v>
      </c>
    </row>
    <row r="15" spans="1:22" x14ac:dyDescent="0.35">
      <c r="A15" t="s">
        <v>18</v>
      </c>
    </row>
    <row r="16" spans="1:22" x14ac:dyDescent="0.35">
      <c r="A16" t="s">
        <v>19</v>
      </c>
      <c r="E16" t="s">
        <v>20</v>
      </c>
      <c r="I16" s="15"/>
      <c r="J16" s="16"/>
      <c r="K16" s="16"/>
      <c r="L16" s="16"/>
      <c r="M16" s="16"/>
      <c r="N16" s="16" t="s">
        <v>109</v>
      </c>
      <c r="O16" s="16">
        <v>5</v>
      </c>
      <c r="P16" s="16" t="s">
        <v>110</v>
      </c>
      <c r="Q16" s="16"/>
      <c r="R16" s="16"/>
      <c r="S16" s="16"/>
      <c r="T16" s="16"/>
      <c r="U16" s="17"/>
      <c r="V16" s="13"/>
    </row>
    <row r="17" spans="1:22" x14ac:dyDescent="0.35">
      <c r="A17" t="s">
        <v>21</v>
      </c>
      <c r="E17">
        <v>280</v>
      </c>
      <c r="F17" t="s">
        <v>22</v>
      </c>
      <c r="I17" s="18"/>
      <c r="J17" s="14"/>
      <c r="K17" s="14"/>
      <c r="L17" s="14"/>
      <c r="M17" s="14"/>
      <c r="N17" s="14" t="s">
        <v>111</v>
      </c>
      <c r="O17" s="14">
        <v>200</v>
      </c>
      <c r="P17" s="14" t="s">
        <v>112</v>
      </c>
      <c r="Q17" s="14"/>
      <c r="R17" s="14"/>
      <c r="S17" s="14"/>
      <c r="T17" s="14"/>
      <c r="U17" s="19"/>
      <c r="V17" s="13"/>
    </row>
    <row r="18" spans="1:22" x14ac:dyDescent="0.35">
      <c r="A18" t="s">
        <v>23</v>
      </c>
      <c r="E18">
        <v>5</v>
      </c>
      <c r="F18" t="s">
        <v>22</v>
      </c>
      <c r="I18" s="18"/>
      <c r="J18" s="14"/>
      <c r="K18" s="14"/>
      <c r="L18" s="14"/>
      <c r="M18" s="14"/>
      <c r="N18" s="14" t="s">
        <v>111</v>
      </c>
      <c r="O18" s="14" cm="1">
        <f t="array" ref="O18">O17*10^{-6}</f>
        <v>1.9999999999999998E-4</v>
      </c>
      <c r="P18" s="14" t="s">
        <v>113</v>
      </c>
      <c r="Q18" s="14"/>
      <c r="R18" s="14"/>
      <c r="S18" s="14"/>
      <c r="T18" s="14"/>
      <c r="U18" s="19"/>
      <c r="V18" s="13"/>
    </row>
    <row r="19" spans="1:22" x14ac:dyDescent="0.35">
      <c r="A19" t="s">
        <v>24</v>
      </c>
      <c r="E19">
        <v>25</v>
      </c>
      <c r="I19" s="18"/>
      <c r="J19" s="14"/>
      <c r="K19" s="14"/>
      <c r="L19" s="14"/>
      <c r="M19" s="14"/>
      <c r="N19" s="14" t="s">
        <v>114</v>
      </c>
      <c r="O19" s="14">
        <f>O16*O18</f>
        <v>1E-3</v>
      </c>
      <c r="P19" s="14" t="s">
        <v>115</v>
      </c>
      <c r="Q19" s="14"/>
      <c r="R19" s="14"/>
      <c r="S19" s="14"/>
      <c r="T19" s="14"/>
      <c r="U19" s="19"/>
      <c r="V19" s="13"/>
    </row>
    <row r="20" spans="1:22" x14ac:dyDescent="0.35">
      <c r="A20" t="s">
        <v>27</v>
      </c>
      <c r="E20">
        <v>0</v>
      </c>
      <c r="F20" t="s">
        <v>28</v>
      </c>
      <c r="I20" s="18"/>
      <c r="J20" s="14" t="s">
        <v>25</v>
      </c>
      <c r="K20" s="14" t="s">
        <v>26</v>
      </c>
      <c r="L20" s="14"/>
      <c r="M20" s="14"/>
      <c r="N20" s="14"/>
      <c r="O20" s="14"/>
      <c r="P20" s="14"/>
      <c r="Q20" s="14"/>
      <c r="R20" s="14"/>
      <c r="S20" s="14"/>
      <c r="T20" s="14"/>
      <c r="U20" s="19"/>
      <c r="V20" s="13"/>
    </row>
    <row r="21" spans="1:22" x14ac:dyDescent="0.35">
      <c r="A21" t="s">
        <v>30</v>
      </c>
      <c r="E21" t="s">
        <v>95</v>
      </c>
      <c r="I21" s="18"/>
      <c r="J21" s="14">
        <v>1.1900000000000001E-2</v>
      </c>
      <c r="K21" s="14">
        <v>6.0000000000000001E-3</v>
      </c>
      <c r="L21" s="14"/>
      <c r="M21" s="14"/>
      <c r="N21" s="14"/>
      <c r="O21" s="14"/>
      <c r="P21" s="14"/>
      <c r="Q21" s="14"/>
      <c r="R21" s="14"/>
      <c r="S21" s="14"/>
      <c r="T21" s="14"/>
      <c r="U21" s="19"/>
      <c r="V21" s="13"/>
    </row>
    <row r="22" spans="1:22" x14ac:dyDescent="0.35">
      <c r="A22" t="s">
        <v>32</v>
      </c>
      <c r="B22" s="1" t="s">
        <v>96</v>
      </c>
      <c r="I22" s="18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9"/>
      <c r="V22" s="13"/>
    </row>
    <row r="23" spans="1:22" x14ac:dyDescent="0.35">
      <c r="I23" s="18"/>
      <c r="J23" s="54" t="s">
        <v>97</v>
      </c>
      <c r="K23" s="54"/>
      <c r="L23" s="54"/>
      <c r="M23" s="14"/>
      <c r="N23" s="14"/>
      <c r="O23" s="14"/>
      <c r="P23" s="14"/>
      <c r="Q23" s="14"/>
      <c r="R23" s="14"/>
      <c r="S23" s="14"/>
      <c r="T23" s="14"/>
      <c r="U23" s="19"/>
      <c r="V23" s="13"/>
    </row>
    <row r="24" spans="1:22" x14ac:dyDescent="0.35">
      <c r="B24" t="s">
        <v>98</v>
      </c>
      <c r="I24" s="18"/>
      <c r="J24" s="28" t="s">
        <v>99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9"/>
      <c r="V24" s="13"/>
    </row>
    <row r="25" spans="1:22" x14ac:dyDescent="0.35">
      <c r="A25" s="2" t="s">
        <v>35</v>
      </c>
      <c r="B25" s="2">
        <v>7</v>
      </c>
      <c r="C25" s="2">
        <v>8</v>
      </c>
      <c r="D25" s="2">
        <v>9</v>
      </c>
      <c r="E25" s="8"/>
      <c r="F25" s="8"/>
      <c r="G25" s="8"/>
      <c r="I25" s="18" t="s">
        <v>100</v>
      </c>
      <c r="J25" s="29">
        <v>7</v>
      </c>
      <c r="K25" s="29">
        <v>8</v>
      </c>
      <c r="L25" s="29">
        <v>9</v>
      </c>
      <c r="M25" s="57" t="s">
        <v>76</v>
      </c>
      <c r="N25" s="57" t="s">
        <v>77</v>
      </c>
      <c r="O25" s="57" t="s">
        <v>78</v>
      </c>
      <c r="P25" s="58" t="s">
        <v>41</v>
      </c>
      <c r="Q25" s="59" t="s">
        <v>80</v>
      </c>
      <c r="R25" s="59" t="s">
        <v>81</v>
      </c>
      <c r="S25" s="59" t="s">
        <v>82</v>
      </c>
      <c r="T25" s="73" t="s">
        <v>45</v>
      </c>
      <c r="U25" s="74" t="s">
        <v>101</v>
      </c>
      <c r="V25" s="13"/>
    </row>
    <row r="26" spans="1:22" x14ac:dyDescent="0.35">
      <c r="A26" s="2" t="s">
        <v>46</v>
      </c>
      <c r="B26">
        <v>5.7599999010562897E-2</v>
      </c>
      <c r="C26">
        <v>5.9399999678134918E-2</v>
      </c>
      <c r="D26">
        <v>5.9200000017881393E-2</v>
      </c>
      <c r="I26" s="18">
        <v>0</v>
      </c>
      <c r="J26" s="14">
        <f>B26-$B$26</f>
        <v>0</v>
      </c>
      <c r="K26" s="14">
        <f>C26-$C$26</f>
        <v>0</v>
      </c>
      <c r="L26" s="14">
        <f>D26-$D$26</f>
        <v>0</v>
      </c>
      <c r="M26" s="61">
        <f>(J26-$K$21)/$J$21</f>
        <v>-0.50420168067226889</v>
      </c>
      <c r="N26" s="61">
        <f>(K26-$K$21)/$J$21</f>
        <v>-0.50420168067226889</v>
      </c>
      <c r="O26" s="61">
        <f>(L26-$K$21)/$J$21</f>
        <v>-0.50420168067226889</v>
      </c>
      <c r="P26" s="62">
        <f>AVERAGE(M26:O26)</f>
        <v>-0.50420168067226889</v>
      </c>
      <c r="Q26" s="63">
        <f>(I26-M26)*$O$18/$O$19</f>
        <v>0.10084033613445377</v>
      </c>
      <c r="R26" s="63">
        <f>(I26-N26)*$O$18/$O$19</f>
        <v>0.10084033613445377</v>
      </c>
      <c r="S26" s="63">
        <f>(I26-O26)*$O$18/$O$19</f>
        <v>0.10084033613445377</v>
      </c>
      <c r="T26" s="75">
        <f>AVERAGE(Q26:S26)</f>
        <v>0.10084033613445377</v>
      </c>
      <c r="U26" s="19">
        <f>Q26/M26</f>
        <v>-0.19999999999999998</v>
      </c>
      <c r="V26" s="13"/>
    </row>
    <row r="27" spans="1:22" x14ac:dyDescent="0.35">
      <c r="A27" s="2" t="s">
        <v>47</v>
      </c>
      <c r="B27">
        <v>8.2099996507167816E-2</v>
      </c>
      <c r="C27">
        <v>8.2999996840953827E-2</v>
      </c>
      <c r="D27">
        <v>8.2599997520446777E-2</v>
      </c>
      <c r="I27" s="18">
        <v>3</v>
      </c>
      <c r="J27" s="14">
        <f t="shared" ref="J27:J33" si="0">B27-$B$26</f>
        <v>2.4499997496604919E-2</v>
      </c>
      <c r="K27" s="14">
        <f t="shared" ref="K27:K33" si="1">C27-$C$26</f>
        <v>2.3599997162818909E-2</v>
      </c>
      <c r="L27" s="14">
        <f t="shared" ref="L27:L33" si="2">D27-$D$26</f>
        <v>2.3399997502565384E-2</v>
      </c>
      <c r="M27" s="61">
        <f t="shared" ref="M27:O33" si="3">(J27-$K$21)/$J$21</f>
        <v>1.5546216383701614</v>
      </c>
      <c r="N27" s="61">
        <f t="shared" si="3"/>
        <v>1.4789913582200764</v>
      </c>
      <c r="O27" s="61">
        <f t="shared" si="3"/>
        <v>1.4621846640811247</v>
      </c>
      <c r="P27" s="62">
        <f t="shared" ref="P27:P33" si="4">AVERAGE(M27:O27)</f>
        <v>1.4985992202237874</v>
      </c>
      <c r="Q27" s="63">
        <f t="shared" ref="Q27:Q33" si="5">(I27-M27)*$O$18/$O$19</f>
        <v>0.2890756723259677</v>
      </c>
      <c r="R27" s="63">
        <f t="shared" ref="R27:R33" si="6">(I27-N27)*$O$18/$O$19</f>
        <v>0.30420172835598464</v>
      </c>
      <c r="S27" s="63">
        <f t="shared" ref="S27:S33" si="7">(I27-O27)*$O$18/$O$19</f>
        <v>0.30756306718377502</v>
      </c>
      <c r="T27" s="75">
        <f t="shared" ref="T27:T33" si="8">AVERAGE(Q27:S27)</f>
        <v>0.30028015595524243</v>
      </c>
      <c r="U27" s="19">
        <f t="shared" ref="U27:U33" si="9">Q27/M27</f>
        <v>0.18594599817163851</v>
      </c>
      <c r="V27" s="13"/>
    </row>
    <row r="28" spans="1:22" x14ac:dyDescent="0.35">
      <c r="A28" s="2" t="s">
        <v>48</v>
      </c>
      <c r="B28">
        <v>0.10610000044107437</v>
      </c>
      <c r="C28">
        <v>0.10989999771118164</v>
      </c>
      <c r="D28">
        <v>0.10570000112056732</v>
      </c>
      <c r="I28" s="18">
        <v>6</v>
      </c>
      <c r="J28" s="14">
        <f t="shared" si="0"/>
        <v>4.8500001430511475E-2</v>
      </c>
      <c r="K28" s="14">
        <f t="shared" si="1"/>
        <v>5.0499998033046722E-2</v>
      </c>
      <c r="L28" s="14">
        <f t="shared" si="2"/>
        <v>4.6500001102685928E-2</v>
      </c>
      <c r="M28" s="61">
        <f t="shared" si="3"/>
        <v>3.5714286916396194</v>
      </c>
      <c r="N28" s="61">
        <f t="shared" si="3"/>
        <v>3.739495633029136</v>
      </c>
      <c r="O28" s="61">
        <f t="shared" si="3"/>
        <v>3.4033614372004979</v>
      </c>
      <c r="P28" s="62">
        <f t="shared" si="4"/>
        <v>3.5714285872897515</v>
      </c>
      <c r="Q28" s="63">
        <f t="shared" si="5"/>
        <v>0.4857142616720761</v>
      </c>
      <c r="R28" s="63">
        <f t="shared" si="6"/>
        <v>0.45210087339417276</v>
      </c>
      <c r="S28" s="63">
        <f t="shared" si="7"/>
        <v>0.5193277125599004</v>
      </c>
      <c r="T28" s="75">
        <f t="shared" si="8"/>
        <v>0.48571428254204979</v>
      </c>
      <c r="U28" s="19">
        <f t="shared" si="9"/>
        <v>0.13599998869054497</v>
      </c>
      <c r="V28" s="13"/>
    </row>
    <row r="29" spans="1:22" x14ac:dyDescent="0.35">
      <c r="A29" s="2" t="s">
        <v>49</v>
      </c>
      <c r="B29">
        <v>0.13670000433921814</v>
      </c>
      <c r="C29">
        <v>0.14939999580383301</v>
      </c>
      <c r="D29">
        <v>0.14630000293254852</v>
      </c>
      <c r="I29" s="18">
        <v>10</v>
      </c>
      <c r="J29" s="14">
        <f t="shared" si="0"/>
        <v>7.9100005328655243E-2</v>
      </c>
      <c r="K29" s="14">
        <f t="shared" si="1"/>
        <v>8.999999612569809E-2</v>
      </c>
      <c r="L29" s="14">
        <f t="shared" si="2"/>
        <v>8.710000291466713E-2</v>
      </c>
      <c r="M29" s="61">
        <f t="shared" si="3"/>
        <v>6.1428575906432972</v>
      </c>
      <c r="N29" s="61">
        <f t="shared" si="3"/>
        <v>7.0588232038401744</v>
      </c>
      <c r="O29" s="61">
        <f t="shared" si="3"/>
        <v>6.8151262953501783</v>
      </c>
      <c r="P29" s="62">
        <f t="shared" si="4"/>
        <v>6.6722690299445508</v>
      </c>
      <c r="Q29" s="63">
        <f t="shared" si="5"/>
        <v>0.7714284818713405</v>
      </c>
      <c r="R29" s="63">
        <f t="shared" si="6"/>
        <v>0.58823535923196502</v>
      </c>
      <c r="S29" s="63">
        <f t="shared" si="7"/>
        <v>0.63697474092996431</v>
      </c>
      <c r="T29" s="75">
        <f t="shared" si="8"/>
        <v>0.66554619401108994</v>
      </c>
      <c r="U29" s="19">
        <f t="shared" si="9"/>
        <v>0.12558137161544622</v>
      </c>
      <c r="V29" s="13"/>
    </row>
    <row r="30" spans="1:22" x14ac:dyDescent="0.35">
      <c r="A30" s="2" t="s">
        <v>50</v>
      </c>
      <c r="B30">
        <v>0.16859999299049377</v>
      </c>
      <c r="C30">
        <v>0.17460000514984131</v>
      </c>
      <c r="D30">
        <v>0.1882999986410141</v>
      </c>
      <c r="I30" s="18">
        <v>14</v>
      </c>
      <c r="J30" s="14">
        <f t="shared" si="0"/>
        <v>0.11099999397993088</v>
      </c>
      <c r="K30" s="14">
        <f t="shared" si="1"/>
        <v>0.11520000547170639</v>
      </c>
      <c r="L30" s="14">
        <f t="shared" si="2"/>
        <v>0.12909999862313271</v>
      </c>
      <c r="M30" s="61">
        <f t="shared" si="3"/>
        <v>8.8235289058765431</v>
      </c>
      <c r="N30" s="61">
        <f t="shared" si="3"/>
        <v>9.1764710480425524</v>
      </c>
      <c r="O30" s="61">
        <f t="shared" si="3"/>
        <v>10.344537699422915</v>
      </c>
      <c r="P30" s="62">
        <f t="shared" si="4"/>
        <v>9.4481792177806696</v>
      </c>
      <c r="Q30" s="63">
        <f t="shared" si="5"/>
        <v>1.0352942188246912</v>
      </c>
      <c r="R30" s="63">
        <f t="shared" si="6"/>
        <v>0.9647057903914894</v>
      </c>
      <c r="S30" s="63">
        <f t="shared" si="7"/>
        <v>0.73109246011541695</v>
      </c>
      <c r="T30" s="75">
        <f t="shared" si="8"/>
        <v>0.91036415644386592</v>
      </c>
      <c r="U30" s="19">
        <f t="shared" si="9"/>
        <v>0.11733335152732108</v>
      </c>
      <c r="V30" s="13"/>
    </row>
    <row r="31" spans="1:22" x14ac:dyDescent="0.35">
      <c r="A31" s="2" t="s">
        <v>51</v>
      </c>
      <c r="B31">
        <v>0.22280000150203705</v>
      </c>
      <c r="C31">
        <v>0.23430000245571136</v>
      </c>
      <c r="D31">
        <v>0.21189999580383301</v>
      </c>
      <c r="I31" s="18">
        <v>20</v>
      </c>
      <c r="J31" s="14">
        <f t="shared" si="0"/>
        <v>0.16520000249147415</v>
      </c>
      <c r="K31" s="14">
        <f t="shared" si="1"/>
        <v>0.17490000277757645</v>
      </c>
      <c r="L31" s="14">
        <f t="shared" si="2"/>
        <v>0.15269999578595161</v>
      </c>
      <c r="M31" s="61">
        <f t="shared" si="3"/>
        <v>13.378151469871776</v>
      </c>
      <c r="N31" s="61">
        <f t="shared" si="3"/>
        <v>14.193277544334153</v>
      </c>
      <c r="O31" s="61">
        <f t="shared" si="3"/>
        <v>12.32773073831526</v>
      </c>
      <c r="P31" s="62">
        <f t="shared" si="4"/>
        <v>13.299719917507062</v>
      </c>
      <c r="Q31" s="63">
        <f t="shared" si="5"/>
        <v>1.3243697060256445</v>
      </c>
      <c r="R31" s="63">
        <f t="shared" si="6"/>
        <v>1.1613444911331692</v>
      </c>
      <c r="S31" s="63">
        <f t="shared" si="7"/>
        <v>1.5344538523369478</v>
      </c>
      <c r="T31" s="75">
        <f t="shared" si="8"/>
        <v>1.3400560164985871</v>
      </c>
      <c r="U31" s="19">
        <f t="shared" si="9"/>
        <v>9.8994970195111567E-2</v>
      </c>
      <c r="V31" s="13"/>
    </row>
    <row r="32" spans="1:22" x14ac:dyDescent="0.35">
      <c r="A32" s="2" t="s">
        <v>52</v>
      </c>
      <c r="B32">
        <v>0.2768000066280365</v>
      </c>
      <c r="C32">
        <v>0.30910000205039978</v>
      </c>
      <c r="D32">
        <v>0.33019998669624329</v>
      </c>
      <c r="I32" s="18">
        <v>28</v>
      </c>
      <c r="J32" s="14">
        <f t="shared" si="0"/>
        <v>0.2192000076174736</v>
      </c>
      <c r="K32" s="14">
        <f t="shared" si="1"/>
        <v>0.24970000237226486</v>
      </c>
      <c r="L32" s="14">
        <f t="shared" si="2"/>
        <v>0.27099998667836189</v>
      </c>
      <c r="M32" s="61">
        <f t="shared" si="3"/>
        <v>17.915967026678452</v>
      </c>
      <c r="N32" s="61">
        <f t="shared" si="3"/>
        <v>20.478991795988641</v>
      </c>
      <c r="O32" s="61">
        <f t="shared" si="3"/>
        <v>22.268906443559821</v>
      </c>
      <c r="P32" s="62">
        <f t="shared" si="4"/>
        <v>20.221288422075638</v>
      </c>
      <c r="Q32" s="63">
        <f t="shared" si="5"/>
        <v>2.0168065946643092</v>
      </c>
      <c r="R32" s="63">
        <f t="shared" si="6"/>
        <v>1.5042016408022716</v>
      </c>
      <c r="S32" s="63">
        <f t="shared" si="7"/>
        <v>1.1462187112880358</v>
      </c>
      <c r="T32" s="75">
        <f t="shared" si="8"/>
        <v>1.5557423155848722</v>
      </c>
      <c r="U32" s="19">
        <f t="shared" si="9"/>
        <v>0.11257034530489517</v>
      </c>
      <c r="V32" s="13"/>
    </row>
    <row r="33" spans="1:23" x14ac:dyDescent="0.35">
      <c r="A33" s="2" t="s">
        <v>53</v>
      </c>
      <c r="B33">
        <v>0.38130000233650208</v>
      </c>
      <c r="C33">
        <v>0.40200001001358032</v>
      </c>
      <c r="D33">
        <v>0.38949999213218689</v>
      </c>
      <c r="I33" s="20">
        <v>39.5</v>
      </c>
      <c r="J33" s="21">
        <f t="shared" si="0"/>
        <v>0.32370000332593918</v>
      </c>
      <c r="K33" s="21">
        <f t="shared" si="1"/>
        <v>0.3426000103354454</v>
      </c>
      <c r="L33" s="21">
        <f t="shared" si="2"/>
        <v>0.3302999921143055</v>
      </c>
      <c r="M33" s="64">
        <f t="shared" si="3"/>
        <v>26.697479271087325</v>
      </c>
      <c r="N33" s="64">
        <f t="shared" si="3"/>
        <v>28.285715154239107</v>
      </c>
      <c r="O33" s="64">
        <f t="shared" si="3"/>
        <v>27.252100177672727</v>
      </c>
      <c r="P33" s="65">
        <f t="shared" si="4"/>
        <v>27.411764867666388</v>
      </c>
      <c r="Q33" s="66">
        <f t="shared" si="5"/>
        <v>2.5605041457825348</v>
      </c>
      <c r="R33" s="66">
        <f t="shared" si="6"/>
        <v>2.2428569691521782</v>
      </c>
      <c r="S33" s="66">
        <f t="shared" si="7"/>
        <v>2.4495799644654546</v>
      </c>
      <c r="T33" s="76">
        <f t="shared" si="8"/>
        <v>2.4176470264667227</v>
      </c>
      <c r="U33" s="22">
        <f t="shared" si="9"/>
        <v>9.5908086294704764E-2</v>
      </c>
      <c r="V33" s="13"/>
    </row>
    <row r="36" spans="1:23" x14ac:dyDescent="0.35">
      <c r="J36" s="3"/>
      <c r="U36" s="12"/>
      <c r="V36" s="12"/>
      <c r="W36" s="12"/>
    </row>
    <row r="37" spans="1:23" x14ac:dyDescent="0.35">
      <c r="J37" s="8"/>
      <c r="K37" s="8"/>
      <c r="L37" s="8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35">
      <c r="A38" t="s">
        <v>54</v>
      </c>
      <c r="B38" s="1" t="s">
        <v>102</v>
      </c>
    </row>
    <row r="41" spans="1:23" s="7" customFormat="1" x14ac:dyDescent="0.35">
      <c r="A41" s="6" t="s">
        <v>56</v>
      </c>
    </row>
    <row r="42" spans="1:23" x14ac:dyDescent="0.35">
      <c r="A42" t="s">
        <v>0</v>
      </c>
      <c r="E42" t="s">
        <v>1</v>
      </c>
    </row>
    <row r="43" spans="1:23" x14ac:dyDescent="0.35">
      <c r="A43" t="s">
        <v>2</v>
      </c>
      <c r="E43" t="s">
        <v>3</v>
      </c>
      <c r="I43" t="s">
        <v>4</v>
      </c>
    </row>
    <row r="44" spans="1:23" x14ac:dyDescent="0.35">
      <c r="A44" t="s">
        <v>5</v>
      </c>
      <c r="E44" t="s">
        <v>6</v>
      </c>
    </row>
    <row r="46" spans="1:23" x14ac:dyDescent="0.35">
      <c r="A46" t="s">
        <v>7</v>
      </c>
      <c r="B46" t="s">
        <v>93</v>
      </c>
    </row>
    <row r="47" spans="1:23" x14ac:dyDescent="0.35">
      <c r="A47" t="s">
        <v>9</v>
      </c>
      <c r="B47" s="1" t="s">
        <v>103</v>
      </c>
    </row>
    <row r="50" spans="1:12" x14ac:dyDescent="0.35">
      <c r="A50" t="s">
        <v>11</v>
      </c>
      <c r="E50" t="s">
        <v>12</v>
      </c>
    </row>
    <row r="51" spans="1:12" x14ac:dyDescent="0.35">
      <c r="A51" t="s">
        <v>13</v>
      </c>
      <c r="E51" t="s">
        <v>14</v>
      </c>
    </row>
    <row r="52" spans="1:12" x14ac:dyDescent="0.35">
      <c r="A52" t="s">
        <v>15</v>
      </c>
      <c r="E52" t="s">
        <v>16</v>
      </c>
    </row>
    <row r="53" spans="1:12" x14ac:dyDescent="0.35">
      <c r="A53" t="s">
        <v>17</v>
      </c>
    </row>
    <row r="55" spans="1:12" x14ac:dyDescent="0.35">
      <c r="A55" s="4" t="s">
        <v>58</v>
      </c>
      <c r="B55" s="4"/>
      <c r="C55" s="4"/>
      <c r="D55" s="4"/>
      <c r="E55" s="4">
        <v>5</v>
      </c>
      <c r="F55" s="4" t="s">
        <v>59</v>
      </c>
      <c r="G55" s="4"/>
      <c r="H55" s="4"/>
      <c r="I55" s="4"/>
      <c r="J55" s="4"/>
      <c r="K55" s="4"/>
      <c r="L55" s="4"/>
    </row>
    <row r="56" spans="1:12" x14ac:dyDescent="0.35">
      <c r="A56" s="4" t="s">
        <v>60</v>
      </c>
      <c r="B56" s="4"/>
      <c r="C56" s="4"/>
      <c r="D56" s="4"/>
      <c r="E56" s="4">
        <v>1</v>
      </c>
      <c r="F56" s="4" t="s">
        <v>61</v>
      </c>
      <c r="G56" s="4"/>
      <c r="H56" s="4"/>
      <c r="I56" s="4"/>
      <c r="J56" s="4"/>
      <c r="K56" s="4"/>
      <c r="L56" s="4"/>
    </row>
    <row r="58" spans="1:12" x14ac:dyDescent="0.35">
      <c r="A58" s="4" t="s">
        <v>62</v>
      </c>
      <c r="B58" s="4"/>
      <c r="C58" s="4"/>
      <c r="D58" s="4"/>
      <c r="E58" s="5">
        <v>6.9444444444444447E-4</v>
      </c>
      <c r="F58" s="4"/>
      <c r="G58" s="4"/>
      <c r="H58" s="4"/>
      <c r="I58" s="4"/>
      <c r="J58" s="4"/>
      <c r="K58" s="4"/>
      <c r="L58" s="4"/>
    </row>
    <row r="61" spans="1:12" x14ac:dyDescent="0.35">
      <c r="A61" t="s">
        <v>18</v>
      </c>
    </row>
    <row r="62" spans="1:12" x14ac:dyDescent="0.35">
      <c r="A62" t="s">
        <v>19</v>
      </c>
      <c r="E62" t="s">
        <v>20</v>
      </c>
    </row>
    <row r="63" spans="1:12" x14ac:dyDescent="0.35">
      <c r="A63" t="s">
        <v>21</v>
      </c>
      <c r="E63">
        <v>280</v>
      </c>
      <c r="F63" t="s">
        <v>22</v>
      </c>
    </row>
    <row r="64" spans="1:12" x14ac:dyDescent="0.35">
      <c r="A64" t="s">
        <v>23</v>
      </c>
      <c r="E64">
        <v>5</v>
      </c>
      <c r="F64" t="s">
        <v>22</v>
      </c>
    </row>
    <row r="65" spans="1:16" x14ac:dyDescent="0.35">
      <c r="A65" t="s">
        <v>24</v>
      </c>
      <c r="E65">
        <v>25</v>
      </c>
    </row>
    <row r="66" spans="1:16" x14ac:dyDescent="0.35">
      <c r="A66" t="s">
        <v>27</v>
      </c>
      <c r="E66">
        <v>0</v>
      </c>
      <c r="F66" t="s">
        <v>28</v>
      </c>
    </row>
    <row r="67" spans="1:16" x14ac:dyDescent="0.35">
      <c r="A67" t="s">
        <v>30</v>
      </c>
      <c r="E67" t="s">
        <v>104</v>
      </c>
    </row>
    <row r="68" spans="1:16" x14ac:dyDescent="0.35">
      <c r="A68" t="s">
        <v>32</v>
      </c>
      <c r="B68" s="1" t="s">
        <v>105</v>
      </c>
    </row>
    <row r="70" spans="1:16" x14ac:dyDescent="0.35">
      <c r="B70" t="s">
        <v>106</v>
      </c>
    </row>
    <row r="71" spans="1:16" x14ac:dyDescent="0.35">
      <c r="A71" s="2" t="s">
        <v>35</v>
      </c>
      <c r="B71" s="2">
        <v>4</v>
      </c>
      <c r="C71" s="2">
        <v>5</v>
      </c>
      <c r="D71" s="2">
        <v>6</v>
      </c>
      <c r="J71" s="15" t="s">
        <v>36</v>
      </c>
      <c r="K71" s="16" t="s">
        <v>90</v>
      </c>
      <c r="L71" s="16">
        <v>1</v>
      </c>
      <c r="M71" s="16">
        <v>2</v>
      </c>
      <c r="N71" s="16">
        <v>3</v>
      </c>
      <c r="O71" s="16" t="s">
        <v>66</v>
      </c>
      <c r="P71" s="17" t="s">
        <v>107</v>
      </c>
    </row>
    <row r="72" spans="1:16" x14ac:dyDescent="0.35">
      <c r="A72" s="2" t="s">
        <v>46</v>
      </c>
      <c r="B72">
        <v>5.3100001066923141E-2</v>
      </c>
      <c r="C72">
        <v>5.2400000393390656E-2</v>
      </c>
      <c r="D72">
        <v>5.3199999034404755E-2</v>
      </c>
      <c r="J72" s="18">
        <v>0</v>
      </c>
      <c r="K72" s="14">
        <f>J72/1000</f>
        <v>0</v>
      </c>
      <c r="L72" s="14">
        <f>B72-$B$72</f>
        <v>0</v>
      </c>
      <c r="M72" s="14">
        <f>C72-$C$72</f>
        <v>0</v>
      </c>
      <c r="N72" s="14">
        <f>D72-$D$72</f>
        <v>0</v>
      </c>
      <c r="O72" s="14">
        <f>AVERAGE(L72:N72)</f>
        <v>0</v>
      </c>
      <c r="P72" s="19">
        <f>_xlfn.STDEV.P(L72:N72)</f>
        <v>0</v>
      </c>
    </row>
    <row r="73" spans="1:16" x14ac:dyDescent="0.35">
      <c r="A73" s="2" t="s">
        <v>47</v>
      </c>
      <c r="B73">
        <v>9.1899998486042023E-2</v>
      </c>
      <c r="C73">
        <v>9.1399997472763062E-2</v>
      </c>
      <c r="D73">
        <v>9.1200001537799835E-2</v>
      </c>
      <c r="J73" s="18">
        <v>3000</v>
      </c>
      <c r="K73" s="14">
        <f t="shared" ref="K73:K79" si="10">J73/1000</f>
        <v>3</v>
      </c>
      <c r="L73" s="14">
        <f t="shared" ref="L73:L79" si="11">B73-$B$72</f>
        <v>3.8799997419118881E-2</v>
      </c>
      <c r="M73" s="14">
        <f t="shared" ref="M73:M79" si="12">C73-$C$72</f>
        <v>3.8999997079372406E-2</v>
      </c>
      <c r="N73" s="14">
        <f t="shared" ref="N73:N79" si="13">D73-$D$72</f>
        <v>3.8000002503395081E-2</v>
      </c>
      <c r="O73" s="14">
        <f t="shared" ref="O73:O79" si="14">AVERAGE(L73:N73)</f>
        <v>3.8599999000628792E-2</v>
      </c>
      <c r="P73" s="19">
        <f t="shared" ref="P73:P79" si="15">_xlfn.STDEV.P(L73:N73)</f>
        <v>4.3204692148339724E-4</v>
      </c>
    </row>
    <row r="74" spans="1:16" x14ac:dyDescent="0.35">
      <c r="A74" s="2" t="s">
        <v>48</v>
      </c>
      <c r="B74">
        <v>0.12680000066757202</v>
      </c>
      <c r="C74">
        <v>0.12950000166893005</v>
      </c>
      <c r="D74">
        <v>0.13320000469684601</v>
      </c>
      <c r="J74" s="18">
        <v>6000</v>
      </c>
      <c r="K74" s="14">
        <f t="shared" si="10"/>
        <v>6</v>
      </c>
      <c r="L74" s="14">
        <f t="shared" si="11"/>
        <v>7.369999960064888E-2</v>
      </c>
      <c r="M74" s="14">
        <f t="shared" si="12"/>
        <v>7.7100001275539398E-2</v>
      </c>
      <c r="N74" s="14">
        <f t="shared" si="13"/>
        <v>8.0000005662441254E-2</v>
      </c>
      <c r="O74" s="14">
        <f t="shared" si="14"/>
        <v>7.6933335512876511E-2</v>
      </c>
      <c r="P74" s="19">
        <f t="shared" si="15"/>
        <v>2.5746653118399894E-3</v>
      </c>
    </row>
    <row r="75" spans="1:16" x14ac:dyDescent="0.35">
      <c r="A75" s="2" t="s">
        <v>49</v>
      </c>
      <c r="B75">
        <v>0.18009999394416809</v>
      </c>
      <c r="C75">
        <v>0.17980000376701355</v>
      </c>
      <c r="D75">
        <v>0.17769999802112579</v>
      </c>
      <c r="J75" s="18">
        <v>10000</v>
      </c>
      <c r="K75" s="14">
        <f t="shared" si="10"/>
        <v>10</v>
      </c>
      <c r="L75" s="14">
        <f t="shared" si="11"/>
        <v>0.12699999287724495</v>
      </c>
      <c r="M75" s="14">
        <f t="shared" si="12"/>
        <v>0.12740000337362289</v>
      </c>
      <c r="N75" s="14">
        <f t="shared" si="13"/>
        <v>0.12449999898672104</v>
      </c>
      <c r="O75" s="14">
        <f t="shared" si="14"/>
        <v>0.12629999841252962</v>
      </c>
      <c r="P75" s="19">
        <f t="shared" si="15"/>
        <v>1.2832252462672766E-3</v>
      </c>
    </row>
    <row r="76" spans="1:16" x14ac:dyDescent="0.35">
      <c r="A76" s="2" t="s">
        <v>50</v>
      </c>
      <c r="B76">
        <v>0.21060000360012054</v>
      </c>
      <c r="C76">
        <v>0.23489999771118164</v>
      </c>
      <c r="D76">
        <v>0.22869999706745148</v>
      </c>
      <c r="J76" s="18">
        <v>14000</v>
      </c>
      <c r="K76" s="14">
        <f t="shared" si="10"/>
        <v>14</v>
      </c>
      <c r="L76" s="14">
        <f t="shared" si="11"/>
        <v>0.1575000025331974</v>
      </c>
      <c r="M76" s="14">
        <f t="shared" si="12"/>
        <v>0.18249999731779099</v>
      </c>
      <c r="N76" s="14">
        <f t="shared" si="13"/>
        <v>0.17549999803304672</v>
      </c>
      <c r="O76" s="14">
        <f t="shared" si="14"/>
        <v>0.1718333326280117</v>
      </c>
      <c r="P76" s="19">
        <f t="shared" si="15"/>
        <v>1.0530377049336428E-2</v>
      </c>
    </row>
    <row r="77" spans="1:16" x14ac:dyDescent="0.35">
      <c r="A77" s="2" t="s">
        <v>51</v>
      </c>
      <c r="B77">
        <v>0.30430001020431519</v>
      </c>
      <c r="C77">
        <v>0.30720001459121704</v>
      </c>
      <c r="D77">
        <v>0.3158000111579895</v>
      </c>
      <c r="J77" s="18">
        <v>20000</v>
      </c>
      <c r="K77" s="14">
        <f t="shared" si="10"/>
        <v>20</v>
      </c>
      <c r="L77" s="14">
        <f t="shared" si="11"/>
        <v>0.25120000913739204</v>
      </c>
      <c r="M77" s="14">
        <f t="shared" si="12"/>
        <v>0.25480001419782639</v>
      </c>
      <c r="N77" s="14">
        <f t="shared" si="13"/>
        <v>0.26260001212358475</v>
      </c>
      <c r="O77" s="14">
        <f t="shared" si="14"/>
        <v>0.25620001181960106</v>
      </c>
      <c r="P77" s="19">
        <f t="shared" si="15"/>
        <v>4.7581517439044679E-3</v>
      </c>
    </row>
    <row r="78" spans="1:16" x14ac:dyDescent="0.35">
      <c r="A78" s="2" t="s">
        <v>52</v>
      </c>
      <c r="B78">
        <v>0.39640000462532043</v>
      </c>
      <c r="C78">
        <v>0.41330000758171082</v>
      </c>
      <c r="D78">
        <v>0.41310000419616699</v>
      </c>
      <c r="J78" s="18">
        <v>28000</v>
      </c>
      <c r="K78" s="14">
        <f t="shared" si="10"/>
        <v>28</v>
      </c>
      <c r="L78" s="14">
        <f t="shared" si="11"/>
        <v>0.34330000355839729</v>
      </c>
      <c r="M78" s="14">
        <f t="shared" si="12"/>
        <v>0.36090000718832016</v>
      </c>
      <c r="N78" s="14">
        <f t="shared" si="13"/>
        <v>0.35990000516176224</v>
      </c>
      <c r="O78" s="14">
        <f t="shared" si="14"/>
        <v>0.35470000530282658</v>
      </c>
      <c r="P78" s="19">
        <f t="shared" si="15"/>
        <v>8.0713497773719275E-3</v>
      </c>
    </row>
    <row r="79" spans="1:16" x14ac:dyDescent="0.35">
      <c r="A79" s="2" t="s">
        <v>53</v>
      </c>
      <c r="B79">
        <v>0.52649998664855957</v>
      </c>
      <c r="C79">
        <v>0.52859997749328613</v>
      </c>
      <c r="D79">
        <v>0.49039998650550842</v>
      </c>
      <c r="J79" s="20">
        <v>39500</v>
      </c>
      <c r="K79" s="21">
        <f t="shared" si="10"/>
        <v>39.5</v>
      </c>
      <c r="L79" s="21">
        <f t="shared" si="11"/>
        <v>0.47339998558163643</v>
      </c>
      <c r="M79" s="21">
        <f t="shared" si="12"/>
        <v>0.47619997709989548</v>
      </c>
      <c r="N79" s="21">
        <f t="shared" si="13"/>
        <v>0.43719998747110367</v>
      </c>
      <c r="O79" s="21">
        <f t="shared" si="14"/>
        <v>0.46226665005087852</v>
      </c>
      <c r="P79" s="22">
        <f t="shared" si="15"/>
        <v>1.7761628449962846E-2</v>
      </c>
    </row>
    <row r="80" spans="1:16" x14ac:dyDescent="0.35">
      <c r="J80" s="13"/>
      <c r="K80" s="13"/>
      <c r="L80" s="13"/>
      <c r="M80" s="13"/>
      <c r="N80" s="13"/>
      <c r="O80" s="13"/>
      <c r="P80" s="13"/>
    </row>
    <row r="81" spans="1:16" x14ac:dyDescent="0.35">
      <c r="J81" s="13"/>
      <c r="K81" s="13"/>
      <c r="L81" s="13"/>
      <c r="M81" s="13"/>
      <c r="N81" s="13"/>
      <c r="O81" s="13"/>
      <c r="P81" s="13"/>
    </row>
    <row r="84" spans="1:16" x14ac:dyDescent="0.35">
      <c r="A84" t="s">
        <v>54</v>
      </c>
      <c r="B84" s="1" t="s">
        <v>108</v>
      </c>
    </row>
  </sheetData>
  <mergeCells count="2">
    <mergeCell ref="J23:L23"/>
    <mergeCell ref="U36:W36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9B46-AC8D-474B-9B20-8544F66FDB3F}">
  <dimension ref="A1:S77"/>
  <sheetViews>
    <sheetView workbookViewId="0">
      <selection activeCell="G52" sqref="G52"/>
    </sheetView>
  </sheetViews>
  <sheetFormatPr defaultRowHeight="14.5" x14ac:dyDescent="0.35"/>
  <sheetData>
    <row r="1" spans="1:19" x14ac:dyDescent="0.35">
      <c r="A1" s="9" t="s">
        <v>35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9" x14ac:dyDescent="0.35">
      <c r="A2" s="9" t="s">
        <v>46</v>
      </c>
      <c r="B2" s="9" t="s">
        <v>161</v>
      </c>
      <c r="C2" s="9" t="s">
        <v>161</v>
      </c>
      <c r="D2" s="9" t="s">
        <v>161</v>
      </c>
      <c r="E2" s="9" t="s">
        <v>161</v>
      </c>
      <c r="F2" s="9" t="s">
        <v>161</v>
      </c>
      <c r="G2" s="9" t="s">
        <v>161</v>
      </c>
      <c r="H2" s="9" t="s">
        <v>161</v>
      </c>
      <c r="I2" s="9" t="s">
        <v>161</v>
      </c>
      <c r="J2" s="9" t="s">
        <v>161</v>
      </c>
      <c r="K2" s="9" t="s">
        <v>161</v>
      </c>
      <c r="L2" s="9" t="s">
        <v>161</v>
      </c>
      <c r="M2" s="9" t="s">
        <v>161</v>
      </c>
    </row>
    <row r="3" spans="1:19" x14ac:dyDescent="0.35">
      <c r="A3" s="9" t="s">
        <v>47</v>
      </c>
      <c r="B3" s="9" t="s">
        <v>161</v>
      </c>
      <c r="C3" s="9" t="s">
        <v>161</v>
      </c>
      <c r="D3" s="9" t="s">
        <v>161</v>
      </c>
      <c r="E3" s="9" t="s">
        <v>161</v>
      </c>
      <c r="F3" s="9" t="s">
        <v>161</v>
      </c>
      <c r="G3" s="9" t="s">
        <v>161</v>
      </c>
      <c r="H3" s="9" t="s">
        <v>161</v>
      </c>
      <c r="I3" s="9" t="s">
        <v>161</v>
      </c>
      <c r="J3" s="9" t="s">
        <v>161</v>
      </c>
      <c r="K3" s="9" t="s">
        <v>161</v>
      </c>
      <c r="L3" s="9" t="s">
        <v>161</v>
      </c>
      <c r="M3" s="9" t="s">
        <v>161</v>
      </c>
    </row>
    <row r="4" spans="1:19" x14ac:dyDescent="0.35">
      <c r="A4" s="9" t="s">
        <v>48</v>
      </c>
      <c r="B4">
        <v>9.6299999999999997E-2</v>
      </c>
      <c r="C4">
        <v>0.1111</v>
      </c>
      <c r="D4">
        <v>0.12820000000000001</v>
      </c>
      <c r="E4">
        <v>0.1391</v>
      </c>
      <c r="F4">
        <v>0.15720000000000001</v>
      </c>
      <c r="G4">
        <v>0.19059999999999999</v>
      </c>
      <c r="H4">
        <v>0.2258</v>
      </c>
      <c r="I4">
        <v>0.28410000000000002</v>
      </c>
      <c r="J4">
        <v>0.35610000000000003</v>
      </c>
      <c r="K4">
        <v>0.43130000000000002</v>
      </c>
      <c r="L4" s="9" t="s">
        <v>161</v>
      </c>
      <c r="M4" s="9" t="s">
        <v>161</v>
      </c>
    </row>
    <row r="5" spans="1:19" x14ac:dyDescent="0.35">
      <c r="A5" s="9" t="s">
        <v>49</v>
      </c>
      <c r="B5">
        <v>0.1009</v>
      </c>
      <c r="C5">
        <v>0.1139</v>
      </c>
      <c r="D5">
        <v>0.12039999999999999</v>
      </c>
      <c r="E5">
        <v>0.14000000000000001</v>
      </c>
      <c r="F5">
        <v>0.15840000000000001</v>
      </c>
      <c r="G5">
        <v>0.1812</v>
      </c>
      <c r="H5">
        <v>0.23419999999999999</v>
      </c>
      <c r="I5">
        <v>0.2908</v>
      </c>
      <c r="J5">
        <v>0.33939999999999998</v>
      </c>
      <c r="K5">
        <v>0.44230000000000003</v>
      </c>
      <c r="L5" s="9" t="s">
        <v>161</v>
      </c>
      <c r="M5" s="9" t="s">
        <v>161</v>
      </c>
    </row>
    <row r="6" spans="1:19" x14ac:dyDescent="0.35">
      <c r="A6" s="9" t="s">
        <v>50</v>
      </c>
      <c r="B6">
        <v>9.8000000000000004E-2</v>
      </c>
      <c r="C6">
        <v>0.1036</v>
      </c>
      <c r="D6">
        <v>0.1177</v>
      </c>
      <c r="E6">
        <v>0.1389</v>
      </c>
      <c r="F6">
        <v>0.14610000000000001</v>
      </c>
      <c r="G6">
        <v>0.1971</v>
      </c>
      <c r="H6">
        <v>0.22259999999999999</v>
      </c>
      <c r="I6">
        <v>0.26290000000000002</v>
      </c>
      <c r="J6">
        <v>0.35759999999999997</v>
      </c>
      <c r="K6">
        <v>0.43</v>
      </c>
      <c r="L6" s="9" t="s">
        <v>161</v>
      </c>
      <c r="M6" s="9" t="s">
        <v>161</v>
      </c>
    </row>
    <row r="7" spans="1:19" x14ac:dyDescent="0.35">
      <c r="A7" s="9" t="s">
        <v>51</v>
      </c>
      <c r="B7">
        <v>0.1003</v>
      </c>
      <c r="C7">
        <v>0.111</v>
      </c>
      <c r="D7">
        <v>0.12470000000000001</v>
      </c>
      <c r="E7">
        <v>0.1394</v>
      </c>
      <c r="F7">
        <v>0.15870000000000001</v>
      </c>
      <c r="G7">
        <v>0.18329999999999999</v>
      </c>
      <c r="H7">
        <v>0.22320000000000001</v>
      </c>
      <c r="I7">
        <v>0.26590000000000003</v>
      </c>
      <c r="J7">
        <v>0.37090000000000001</v>
      </c>
      <c r="K7">
        <v>0.45710000000000001</v>
      </c>
      <c r="L7" s="9" t="s">
        <v>161</v>
      </c>
      <c r="M7" s="9" t="s">
        <v>161</v>
      </c>
    </row>
    <row r="8" spans="1:19" x14ac:dyDescent="0.35">
      <c r="A8" s="9" t="s">
        <v>52</v>
      </c>
      <c r="B8">
        <v>0.10390000000000001</v>
      </c>
      <c r="C8">
        <v>0.1166</v>
      </c>
      <c r="D8">
        <v>0.1188</v>
      </c>
      <c r="E8">
        <v>0.14449999999999999</v>
      </c>
      <c r="F8">
        <v>0.16569999999999999</v>
      </c>
      <c r="G8">
        <v>0.21640000000000001</v>
      </c>
      <c r="H8">
        <v>0.1905</v>
      </c>
      <c r="I8">
        <v>0.30790000000000001</v>
      </c>
      <c r="J8">
        <v>0.38219999999999998</v>
      </c>
      <c r="K8">
        <v>0.44469999999999998</v>
      </c>
      <c r="L8" s="9" t="s">
        <v>161</v>
      </c>
      <c r="M8" s="9" t="s">
        <v>161</v>
      </c>
    </row>
    <row r="9" spans="1:19" x14ac:dyDescent="0.35">
      <c r="A9" s="9" t="s">
        <v>53</v>
      </c>
      <c r="B9">
        <v>0.1042</v>
      </c>
      <c r="C9">
        <v>0.1158</v>
      </c>
      <c r="D9">
        <v>0.12809999999999999</v>
      </c>
      <c r="E9">
        <v>0.14699999999999999</v>
      </c>
      <c r="F9">
        <v>0.17269999999999999</v>
      </c>
      <c r="G9">
        <v>0.182</v>
      </c>
      <c r="H9">
        <v>0.24279999999999999</v>
      </c>
      <c r="I9">
        <v>0.32129999999999997</v>
      </c>
      <c r="J9">
        <v>0.3911</v>
      </c>
      <c r="K9">
        <v>0.45590000000000003</v>
      </c>
      <c r="L9" s="9" t="s">
        <v>161</v>
      </c>
      <c r="M9" s="9" t="s">
        <v>161</v>
      </c>
    </row>
    <row r="14" spans="1:19" x14ac:dyDescent="0.35">
      <c r="K14" s="15" t="s">
        <v>160</v>
      </c>
      <c r="L14" s="16" t="s">
        <v>175</v>
      </c>
      <c r="M14" s="16" t="s">
        <v>176</v>
      </c>
      <c r="N14" s="16" t="s">
        <v>177</v>
      </c>
      <c r="O14" s="69"/>
      <c r="P14" s="16" t="s">
        <v>160</v>
      </c>
      <c r="Q14" s="16" t="s">
        <v>178</v>
      </c>
      <c r="R14" s="16" t="s">
        <v>179</v>
      </c>
      <c r="S14" s="17" t="s">
        <v>180</v>
      </c>
    </row>
    <row r="15" spans="1:19" x14ac:dyDescent="0.35">
      <c r="A15" t="s">
        <v>136</v>
      </c>
      <c r="K15" s="18">
        <v>0</v>
      </c>
      <c r="L15" s="14">
        <v>9.6299999999999997E-2</v>
      </c>
      <c r="M15" s="14">
        <v>9.8000000000000004E-2</v>
      </c>
      <c r="N15" s="14">
        <v>0.1003</v>
      </c>
      <c r="O15" s="24"/>
      <c r="P15" s="14">
        <v>0</v>
      </c>
      <c r="Q15" s="14">
        <v>0.1009</v>
      </c>
      <c r="R15" s="14">
        <v>0.10390000000000001</v>
      </c>
      <c r="S15" s="19">
        <v>0.1042</v>
      </c>
    </row>
    <row r="16" spans="1:19" x14ac:dyDescent="0.35">
      <c r="A16" t="s">
        <v>137</v>
      </c>
      <c r="K16" s="18">
        <v>1.8</v>
      </c>
      <c r="L16" s="14">
        <v>0.1111</v>
      </c>
      <c r="M16" s="14">
        <v>0.1036</v>
      </c>
      <c r="N16" s="14">
        <v>0.111</v>
      </c>
      <c r="O16" s="24"/>
      <c r="P16" s="14">
        <v>1.8</v>
      </c>
      <c r="Q16" s="14">
        <v>0.1139</v>
      </c>
      <c r="R16" s="14">
        <v>0.1166</v>
      </c>
      <c r="S16" s="19">
        <v>0.1158</v>
      </c>
    </row>
    <row r="17" spans="1:19" x14ac:dyDescent="0.35">
      <c r="A17" t="s">
        <v>138</v>
      </c>
      <c r="K17" s="18">
        <v>3.6</v>
      </c>
      <c r="L17" s="14">
        <v>0.12820000000000001</v>
      </c>
      <c r="M17" s="14">
        <v>0.1177</v>
      </c>
      <c r="N17" s="14">
        <v>0.12470000000000001</v>
      </c>
      <c r="O17" s="24"/>
      <c r="P17" s="14">
        <v>3.6</v>
      </c>
      <c r="Q17" s="14">
        <v>0.12039999999999999</v>
      </c>
      <c r="R17" s="14">
        <v>0.1188</v>
      </c>
      <c r="S17" s="19">
        <v>0.12809999999999999</v>
      </c>
    </row>
    <row r="18" spans="1:19" x14ac:dyDescent="0.35">
      <c r="A18" t="s">
        <v>139</v>
      </c>
      <c r="K18" s="18">
        <v>6.3</v>
      </c>
      <c r="L18" s="14">
        <v>0.1391</v>
      </c>
      <c r="M18" s="14">
        <v>0.1389</v>
      </c>
      <c r="N18" s="14">
        <v>0.1394</v>
      </c>
      <c r="O18" s="24"/>
      <c r="P18" s="14">
        <v>6.3</v>
      </c>
      <c r="Q18" s="14">
        <v>0.14000000000000001</v>
      </c>
      <c r="R18" s="14">
        <v>0.14449999999999999</v>
      </c>
      <c r="S18" s="19">
        <v>0.14699999999999999</v>
      </c>
    </row>
    <row r="19" spans="1:19" x14ac:dyDescent="0.35">
      <c r="A19" t="s">
        <v>15</v>
      </c>
      <c r="K19" s="18">
        <v>9</v>
      </c>
      <c r="L19" s="14">
        <v>0.15720000000000001</v>
      </c>
      <c r="M19" s="14">
        <v>0.14610000000000001</v>
      </c>
      <c r="N19" s="14">
        <v>0.15870000000000001</v>
      </c>
      <c r="O19" s="24"/>
      <c r="P19" s="14">
        <v>9</v>
      </c>
      <c r="Q19" s="14">
        <v>0.15840000000000001</v>
      </c>
      <c r="R19" s="14">
        <v>0.16569999999999999</v>
      </c>
      <c r="S19" s="19">
        <v>0.17269999999999999</v>
      </c>
    </row>
    <row r="20" spans="1:19" x14ac:dyDescent="0.35">
      <c r="A20" t="s">
        <v>162</v>
      </c>
      <c r="K20" s="18">
        <v>13.5</v>
      </c>
      <c r="L20" s="14">
        <v>0.19059999999999999</v>
      </c>
      <c r="M20" s="14">
        <v>0.1971</v>
      </c>
      <c r="N20" s="14">
        <v>0.18329999999999999</v>
      </c>
      <c r="O20" s="24"/>
      <c r="P20" s="14">
        <v>13.5</v>
      </c>
      <c r="Q20" s="14">
        <v>0.1812</v>
      </c>
      <c r="R20" s="14">
        <v>0.21640000000000001</v>
      </c>
      <c r="S20" s="19">
        <v>0.182</v>
      </c>
    </row>
    <row r="21" spans="1:19" x14ac:dyDescent="0.35">
      <c r="A21" t="s">
        <v>141</v>
      </c>
      <c r="K21" s="18">
        <v>18</v>
      </c>
      <c r="L21" s="14">
        <v>0.2258</v>
      </c>
      <c r="M21" s="14">
        <v>0.22259999999999999</v>
      </c>
      <c r="N21" s="14">
        <v>0.22320000000000001</v>
      </c>
      <c r="O21" s="24"/>
      <c r="P21" s="14">
        <v>18</v>
      </c>
      <c r="Q21" s="14">
        <v>0.23419999999999999</v>
      </c>
      <c r="R21" s="14">
        <v>0.1905</v>
      </c>
      <c r="S21" s="19">
        <v>0.24279999999999999</v>
      </c>
    </row>
    <row r="22" spans="1:19" x14ac:dyDescent="0.35">
      <c r="A22" t="s">
        <v>142</v>
      </c>
      <c r="K22" s="18">
        <v>27</v>
      </c>
      <c r="L22" s="14">
        <v>0.28410000000000002</v>
      </c>
      <c r="M22" s="14">
        <v>0.26290000000000002</v>
      </c>
      <c r="N22" s="14">
        <v>0.26590000000000003</v>
      </c>
      <c r="O22" s="24"/>
      <c r="P22" s="14">
        <v>27</v>
      </c>
      <c r="Q22" s="14">
        <v>0.2908</v>
      </c>
      <c r="R22" s="14">
        <v>0.30790000000000001</v>
      </c>
      <c r="S22" s="19">
        <v>0.32129999999999997</v>
      </c>
    </row>
    <row r="23" spans="1:19" x14ac:dyDescent="0.35">
      <c r="A23" t="s">
        <v>143</v>
      </c>
      <c r="K23" s="18">
        <v>36</v>
      </c>
      <c r="L23" s="14">
        <v>0.35610000000000003</v>
      </c>
      <c r="M23" s="14">
        <v>0.35759999999999997</v>
      </c>
      <c r="N23" s="14">
        <v>0.37090000000000001</v>
      </c>
      <c r="O23" s="24"/>
      <c r="P23" s="14">
        <v>36</v>
      </c>
      <c r="Q23" s="14">
        <v>0.33939999999999998</v>
      </c>
      <c r="R23" s="14">
        <v>0.38219999999999998</v>
      </c>
      <c r="S23" s="19">
        <v>0.3911</v>
      </c>
    </row>
    <row r="24" spans="1:19" x14ac:dyDescent="0.35">
      <c r="A24" t="s">
        <v>181</v>
      </c>
      <c r="K24" s="20">
        <v>45</v>
      </c>
      <c r="L24" s="21">
        <v>0.43130000000000002</v>
      </c>
      <c r="M24" s="21">
        <v>0.43</v>
      </c>
      <c r="N24" s="21">
        <v>0.45710000000000001</v>
      </c>
      <c r="O24" s="77"/>
      <c r="P24" s="21">
        <v>45</v>
      </c>
      <c r="Q24" s="21">
        <v>0.44230000000000003</v>
      </c>
      <c r="R24" s="21">
        <v>0.44469999999999998</v>
      </c>
      <c r="S24" s="22">
        <v>0.45590000000000003</v>
      </c>
    </row>
    <row r="25" spans="1:19" x14ac:dyDescent="0.35">
      <c r="A25" t="s">
        <v>164</v>
      </c>
    </row>
    <row r="26" spans="1:19" x14ac:dyDescent="0.35">
      <c r="A26" t="s">
        <v>165</v>
      </c>
    </row>
    <row r="27" spans="1:19" x14ac:dyDescent="0.35">
      <c r="A27" t="s">
        <v>166</v>
      </c>
    </row>
    <row r="28" spans="1:19" x14ac:dyDescent="0.35">
      <c r="A28" t="s">
        <v>167</v>
      </c>
    </row>
    <row r="29" spans="1:19" x14ac:dyDescent="0.35">
      <c r="A29" t="s">
        <v>168</v>
      </c>
    </row>
    <row r="30" spans="1:19" x14ac:dyDescent="0.35">
      <c r="A30" t="s">
        <v>169</v>
      </c>
    </row>
    <row r="31" spans="1:19" x14ac:dyDescent="0.35">
      <c r="A31" t="s">
        <v>152</v>
      </c>
    </row>
    <row r="32" spans="1:19" x14ac:dyDescent="0.35">
      <c r="A32" t="s">
        <v>153</v>
      </c>
    </row>
    <row r="33" spans="1:14" x14ac:dyDescent="0.35">
      <c r="A33" t="s">
        <v>157</v>
      </c>
    </row>
    <row r="34" spans="1:14" x14ac:dyDescent="0.35">
      <c r="A34" t="s">
        <v>182</v>
      </c>
    </row>
    <row r="35" spans="1:14" x14ac:dyDescent="0.35">
      <c r="A35" t="s">
        <v>183</v>
      </c>
    </row>
    <row r="41" spans="1:14" s="7" customFormat="1" x14ac:dyDescent="0.35">
      <c r="A41" s="6" t="s">
        <v>202</v>
      </c>
    </row>
    <row r="42" spans="1:14" x14ac:dyDescent="0.35">
      <c r="A42" s="9" t="s">
        <v>35</v>
      </c>
      <c r="B42">
        <v>1</v>
      </c>
      <c r="C42">
        <v>2</v>
      </c>
      <c r="D42">
        <v>3</v>
      </c>
      <c r="E42">
        <v>4</v>
      </c>
      <c r="F42">
        <v>5</v>
      </c>
      <c r="G42">
        <v>6</v>
      </c>
      <c r="H42">
        <v>7</v>
      </c>
      <c r="I42">
        <v>8</v>
      </c>
      <c r="J42">
        <v>9</v>
      </c>
      <c r="K42">
        <v>10</v>
      </c>
      <c r="L42">
        <v>11</v>
      </c>
      <c r="M42">
        <v>12</v>
      </c>
    </row>
    <row r="43" spans="1:14" x14ac:dyDescent="0.35">
      <c r="A43" s="9" t="s">
        <v>46</v>
      </c>
      <c r="B43">
        <v>4.9399999999999999E-2</v>
      </c>
      <c r="C43">
        <v>6.7500000000000004E-2</v>
      </c>
      <c r="D43">
        <v>8.2100000000000006E-2</v>
      </c>
      <c r="E43">
        <v>0.1089</v>
      </c>
      <c r="F43">
        <v>0.13400000000000001</v>
      </c>
      <c r="G43">
        <v>0.17430000000000001</v>
      </c>
      <c r="H43">
        <v>0.2107</v>
      </c>
      <c r="I43">
        <v>0.29070000000000001</v>
      </c>
      <c r="J43">
        <v>0.37959999999999999</v>
      </c>
      <c r="K43">
        <v>0.4627</v>
      </c>
      <c r="L43" s="9" t="s">
        <v>161</v>
      </c>
      <c r="M43" s="9" t="s">
        <v>161</v>
      </c>
      <c r="N43" t="s">
        <v>194</v>
      </c>
    </row>
    <row r="44" spans="1:14" x14ac:dyDescent="0.35">
      <c r="A44" s="9" t="s">
        <v>47</v>
      </c>
      <c r="B44">
        <v>5.3199999999999997E-2</v>
      </c>
      <c r="C44">
        <v>7.1599999999999997E-2</v>
      </c>
      <c r="D44">
        <v>9.0999999999999998E-2</v>
      </c>
      <c r="E44">
        <v>0.12</v>
      </c>
      <c r="F44">
        <v>0.1502</v>
      </c>
      <c r="G44">
        <v>0.2049</v>
      </c>
      <c r="H44">
        <v>0.2487</v>
      </c>
      <c r="I44">
        <v>0.34379999999999999</v>
      </c>
      <c r="J44">
        <v>0.435</v>
      </c>
      <c r="K44">
        <v>0.5544</v>
      </c>
      <c r="L44" s="9" t="s">
        <v>161</v>
      </c>
      <c r="M44" s="9" t="s">
        <v>161</v>
      </c>
      <c r="N44" t="s">
        <v>195</v>
      </c>
    </row>
    <row r="45" spans="1:14" x14ac:dyDescent="0.35">
      <c r="A45" s="9" t="s">
        <v>48</v>
      </c>
      <c r="B45" s="9" t="s">
        <v>161</v>
      </c>
      <c r="C45" s="9" t="s">
        <v>161</v>
      </c>
      <c r="D45" s="9" t="s">
        <v>161</v>
      </c>
      <c r="E45" s="9" t="s">
        <v>161</v>
      </c>
      <c r="F45" s="9" t="s">
        <v>161</v>
      </c>
      <c r="G45" s="9" t="s">
        <v>161</v>
      </c>
      <c r="H45" s="9" t="s">
        <v>161</v>
      </c>
      <c r="I45" s="9" t="s">
        <v>161</v>
      </c>
      <c r="J45" s="9" t="s">
        <v>161</v>
      </c>
      <c r="K45" s="9" t="s">
        <v>161</v>
      </c>
      <c r="L45" s="9" t="s">
        <v>161</v>
      </c>
      <c r="M45" s="9" t="s">
        <v>161</v>
      </c>
    </row>
    <row r="46" spans="1:14" x14ac:dyDescent="0.35">
      <c r="A46" s="9" t="s">
        <v>49</v>
      </c>
      <c r="B46" s="9" t="s">
        <v>161</v>
      </c>
      <c r="C46" s="9" t="s">
        <v>161</v>
      </c>
      <c r="D46" s="9" t="s">
        <v>161</v>
      </c>
      <c r="E46" s="9" t="s">
        <v>161</v>
      </c>
      <c r="F46" s="9" t="s">
        <v>161</v>
      </c>
      <c r="G46" s="9" t="s">
        <v>161</v>
      </c>
      <c r="H46" s="9" t="s">
        <v>161</v>
      </c>
      <c r="I46" s="9" t="s">
        <v>161</v>
      </c>
      <c r="J46" s="9" t="s">
        <v>161</v>
      </c>
      <c r="K46" s="9" t="s">
        <v>161</v>
      </c>
      <c r="L46" s="9" t="s">
        <v>161</v>
      </c>
      <c r="M46" s="9" t="s">
        <v>161</v>
      </c>
    </row>
    <row r="47" spans="1:14" x14ac:dyDescent="0.35">
      <c r="A47" s="9" t="s">
        <v>50</v>
      </c>
      <c r="B47" s="9" t="s">
        <v>161</v>
      </c>
      <c r="C47" s="9" t="s">
        <v>161</v>
      </c>
      <c r="D47" s="9" t="s">
        <v>161</v>
      </c>
      <c r="E47" s="9" t="s">
        <v>161</v>
      </c>
      <c r="F47" s="9" t="s">
        <v>161</v>
      </c>
      <c r="G47" s="9" t="s">
        <v>161</v>
      </c>
      <c r="H47" s="9" t="s">
        <v>161</v>
      </c>
      <c r="I47" s="9" t="s">
        <v>161</v>
      </c>
      <c r="J47" s="9" t="s">
        <v>161</v>
      </c>
      <c r="K47" s="9" t="s">
        <v>161</v>
      </c>
      <c r="L47" s="9" t="s">
        <v>161</v>
      </c>
      <c r="M47" s="9" t="s">
        <v>161</v>
      </c>
    </row>
    <row r="48" spans="1:14" x14ac:dyDescent="0.35">
      <c r="A48" s="9" t="s">
        <v>51</v>
      </c>
      <c r="B48" s="9" t="s">
        <v>161</v>
      </c>
      <c r="C48" s="9" t="s">
        <v>161</v>
      </c>
      <c r="D48" s="9" t="s">
        <v>161</v>
      </c>
      <c r="E48" s="9" t="s">
        <v>161</v>
      </c>
      <c r="F48" s="9" t="s">
        <v>161</v>
      </c>
      <c r="G48" s="9" t="s">
        <v>161</v>
      </c>
      <c r="H48" s="9" t="s">
        <v>161</v>
      </c>
      <c r="I48" s="9" t="s">
        <v>161</v>
      </c>
      <c r="J48" s="9" t="s">
        <v>161</v>
      </c>
      <c r="K48" s="9" t="s">
        <v>161</v>
      </c>
      <c r="L48" s="9" t="s">
        <v>161</v>
      </c>
      <c r="M48" s="9" t="s">
        <v>161</v>
      </c>
    </row>
    <row r="49" spans="1:17" x14ac:dyDescent="0.35">
      <c r="A49" s="9" t="s">
        <v>52</v>
      </c>
      <c r="B49" s="9" t="s">
        <v>161</v>
      </c>
      <c r="C49" s="9" t="s">
        <v>161</v>
      </c>
      <c r="D49" s="9" t="s">
        <v>161</v>
      </c>
      <c r="E49" s="9" t="s">
        <v>161</v>
      </c>
      <c r="F49" s="9" t="s">
        <v>161</v>
      </c>
      <c r="G49" s="9" t="s">
        <v>161</v>
      </c>
      <c r="H49" s="9" t="s">
        <v>161</v>
      </c>
      <c r="I49" s="9" t="s">
        <v>161</v>
      </c>
      <c r="J49" s="9" t="s">
        <v>161</v>
      </c>
      <c r="K49" s="9" t="s">
        <v>161</v>
      </c>
      <c r="L49" s="9" t="s">
        <v>161</v>
      </c>
      <c r="M49" s="9" t="s">
        <v>161</v>
      </c>
    </row>
    <row r="50" spans="1:17" x14ac:dyDescent="0.35">
      <c r="A50" s="9" t="s">
        <v>53</v>
      </c>
      <c r="B50" s="9" t="s">
        <v>161</v>
      </c>
      <c r="C50" s="9" t="s">
        <v>161</v>
      </c>
      <c r="D50" s="9" t="s">
        <v>161</v>
      </c>
      <c r="E50" s="9" t="s">
        <v>161</v>
      </c>
      <c r="F50" s="9" t="s">
        <v>161</v>
      </c>
      <c r="G50" s="9" t="s">
        <v>161</v>
      </c>
      <c r="H50" s="9" t="s">
        <v>161</v>
      </c>
      <c r="I50" s="9" t="s">
        <v>161</v>
      </c>
      <c r="J50" s="9" t="s">
        <v>161</v>
      </c>
      <c r="K50" s="9" t="s">
        <v>161</v>
      </c>
      <c r="L50" s="9" t="s">
        <v>161</v>
      </c>
      <c r="M50" s="9" t="s">
        <v>161</v>
      </c>
      <c r="O50" s="15" t="s">
        <v>160</v>
      </c>
      <c r="P50" s="16" t="s">
        <v>192</v>
      </c>
      <c r="Q50" s="17" t="s">
        <v>193</v>
      </c>
    </row>
    <row r="51" spans="1:17" x14ac:dyDescent="0.35">
      <c r="I51" s="82"/>
      <c r="J51" s="83" t="s">
        <v>187</v>
      </c>
      <c r="K51" s="83"/>
      <c r="L51" s="84"/>
      <c r="O51" s="18">
        <v>0</v>
      </c>
      <c r="P51" s="14">
        <v>4.9399999999999999E-2</v>
      </c>
      <c r="Q51" s="19">
        <v>5.3199999999999997E-2</v>
      </c>
    </row>
    <row r="52" spans="1:17" x14ac:dyDescent="0.35">
      <c r="I52" s="85" t="s">
        <v>192</v>
      </c>
      <c r="J52" s="78">
        <v>0.13930000000000001</v>
      </c>
      <c r="K52" s="79">
        <v>0.1391</v>
      </c>
      <c r="L52" s="86"/>
      <c r="O52" s="18">
        <v>2</v>
      </c>
      <c r="P52" s="14">
        <v>6.7500000000000004E-2</v>
      </c>
      <c r="Q52" s="19">
        <v>7.1599999999999997E-2</v>
      </c>
    </row>
    <row r="53" spans="1:17" x14ac:dyDescent="0.35">
      <c r="I53" s="85" t="s">
        <v>193</v>
      </c>
      <c r="J53" s="80">
        <v>0.1525</v>
      </c>
      <c r="K53" s="81">
        <v>0.1522</v>
      </c>
      <c r="L53" s="86"/>
      <c r="O53" s="18">
        <v>4</v>
      </c>
      <c r="P53" s="14">
        <v>8.2100000000000006E-2</v>
      </c>
      <c r="Q53" s="19">
        <v>9.0999999999999998E-2</v>
      </c>
    </row>
    <row r="54" spans="1:17" x14ac:dyDescent="0.35">
      <c r="A54" t="s">
        <v>136</v>
      </c>
      <c r="I54" s="85"/>
      <c r="J54" s="87" t="s">
        <v>188</v>
      </c>
      <c r="K54" s="87" t="s">
        <v>189</v>
      </c>
      <c r="L54" s="86"/>
      <c r="O54" s="18">
        <v>7</v>
      </c>
      <c r="P54" s="14">
        <v>0.1089</v>
      </c>
      <c r="Q54" s="19">
        <v>0.12</v>
      </c>
    </row>
    <row r="55" spans="1:17" x14ac:dyDescent="0.35">
      <c r="A55" t="s">
        <v>137</v>
      </c>
      <c r="I55" s="88"/>
      <c r="J55" s="89" t="s">
        <v>190</v>
      </c>
      <c r="K55" s="89" t="s">
        <v>191</v>
      </c>
      <c r="L55" s="90"/>
      <c r="O55" s="18">
        <v>10</v>
      </c>
      <c r="P55" s="14">
        <v>0.13400000000000001</v>
      </c>
      <c r="Q55" s="19">
        <v>0.1502</v>
      </c>
    </row>
    <row r="56" spans="1:17" x14ac:dyDescent="0.35">
      <c r="A56" t="s">
        <v>138</v>
      </c>
      <c r="O56" s="18">
        <v>15</v>
      </c>
      <c r="P56" s="14">
        <v>0.17430000000000001</v>
      </c>
      <c r="Q56" s="19">
        <v>0.2049</v>
      </c>
    </row>
    <row r="57" spans="1:17" x14ac:dyDescent="0.35">
      <c r="A57" t="s">
        <v>139</v>
      </c>
      <c r="O57" s="18">
        <v>20</v>
      </c>
      <c r="P57" s="14">
        <v>0.2107</v>
      </c>
      <c r="Q57" s="19">
        <v>0.2487</v>
      </c>
    </row>
    <row r="58" spans="1:17" x14ac:dyDescent="0.35">
      <c r="A58" t="s">
        <v>15</v>
      </c>
      <c r="O58" s="18">
        <v>30</v>
      </c>
      <c r="P58" s="14">
        <v>0.29070000000000001</v>
      </c>
      <c r="Q58" s="19">
        <v>0.34379999999999999</v>
      </c>
    </row>
    <row r="59" spans="1:17" x14ac:dyDescent="0.35">
      <c r="A59" t="s">
        <v>162</v>
      </c>
      <c r="O59" s="18">
        <v>40</v>
      </c>
      <c r="P59" s="14">
        <v>0.37959999999999999</v>
      </c>
      <c r="Q59" s="19">
        <v>0.435</v>
      </c>
    </row>
    <row r="60" spans="1:17" x14ac:dyDescent="0.35">
      <c r="A60" t="s">
        <v>141</v>
      </c>
      <c r="O60" s="20">
        <v>50</v>
      </c>
      <c r="P60" s="21">
        <v>0.4627</v>
      </c>
      <c r="Q60" s="22">
        <v>0.5544</v>
      </c>
    </row>
    <row r="61" spans="1:17" x14ac:dyDescent="0.35">
      <c r="A61" t="s">
        <v>142</v>
      </c>
    </row>
    <row r="62" spans="1:17" x14ac:dyDescent="0.35">
      <c r="A62" t="s">
        <v>143</v>
      </c>
    </row>
    <row r="63" spans="1:17" x14ac:dyDescent="0.35">
      <c r="A63" t="s">
        <v>196</v>
      </c>
    </row>
    <row r="64" spans="1:17" x14ac:dyDescent="0.35">
      <c r="A64" t="s">
        <v>164</v>
      </c>
    </row>
    <row r="65" spans="1:1" x14ac:dyDescent="0.35">
      <c r="A65" t="s">
        <v>165</v>
      </c>
    </row>
    <row r="66" spans="1:1" x14ac:dyDescent="0.35">
      <c r="A66" t="s">
        <v>166</v>
      </c>
    </row>
    <row r="67" spans="1:1" x14ac:dyDescent="0.35">
      <c r="A67" t="s">
        <v>197</v>
      </c>
    </row>
    <row r="68" spans="1:1" x14ac:dyDescent="0.35">
      <c r="A68" t="s">
        <v>198</v>
      </c>
    </row>
    <row r="69" spans="1:1" x14ac:dyDescent="0.35">
      <c r="A69" t="s">
        <v>199</v>
      </c>
    </row>
    <row r="70" spans="1:1" x14ac:dyDescent="0.35">
      <c r="A70" t="s">
        <v>167</v>
      </c>
    </row>
    <row r="71" spans="1:1" x14ac:dyDescent="0.35">
      <c r="A71" t="s">
        <v>168</v>
      </c>
    </row>
    <row r="72" spans="1:1" x14ac:dyDescent="0.35">
      <c r="A72" t="s">
        <v>169</v>
      </c>
    </row>
    <row r="73" spans="1:1" x14ac:dyDescent="0.35">
      <c r="A73" t="s">
        <v>152</v>
      </c>
    </row>
    <row r="74" spans="1:1" x14ac:dyDescent="0.35">
      <c r="A74" t="s">
        <v>153</v>
      </c>
    </row>
    <row r="75" spans="1:1" x14ac:dyDescent="0.35">
      <c r="A75" t="s">
        <v>157</v>
      </c>
    </row>
    <row r="76" spans="1:1" x14ac:dyDescent="0.35">
      <c r="A76" t="s">
        <v>200</v>
      </c>
    </row>
    <row r="77" spans="1:1" x14ac:dyDescent="0.35">
      <c r="A77" t="s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44EC1-6F51-4158-96D7-A23AF13ADDF8}">
  <dimension ref="A1:R34"/>
  <sheetViews>
    <sheetView workbookViewId="0">
      <selection activeCell="H25" sqref="H25"/>
    </sheetView>
  </sheetViews>
  <sheetFormatPr defaultRowHeight="14.5" x14ac:dyDescent="0.35"/>
  <sheetData>
    <row r="1" spans="1:18" x14ac:dyDescent="0.35">
      <c r="A1" s="9" t="s">
        <v>35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8" x14ac:dyDescent="0.35">
      <c r="A2" s="9" t="s">
        <v>46</v>
      </c>
      <c r="B2">
        <v>0.1108</v>
      </c>
      <c r="C2">
        <v>0.115</v>
      </c>
      <c r="D2">
        <v>0.113</v>
      </c>
      <c r="E2">
        <v>0.1197</v>
      </c>
      <c r="F2">
        <v>0.12180000000000001</v>
      </c>
      <c r="G2">
        <v>0.12770000000000001</v>
      </c>
      <c r="H2">
        <v>0.13439999999999999</v>
      </c>
      <c r="I2">
        <v>0.1414</v>
      </c>
      <c r="J2">
        <v>0.1673</v>
      </c>
      <c r="K2">
        <v>0.1784</v>
      </c>
      <c r="L2" s="9" t="s">
        <v>161</v>
      </c>
      <c r="M2" s="9" t="s">
        <v>161</v>
      </c>
    </row>
    <row r="3" spans="1:18" x14ac:dyDescent="0.35">
      <c r="A3" s="9" t="s">
        <v>47</v>
      </c>
      <c r="B3">
        <v>0.1115</v>
      </c>
      <c r="C3">
        <v>0.11260000000000001</v>
      </c>
      <c r="D3">
        <v>0.12180000000000001</v>
      </c>
      <c r="E3">
        <v>0.12230000000000001</v>
      </c>
      <c r="F3">
        <v>0.1202</v>
      </c>
      <c r="G3">
        <v>0.13159999999999999</v>
      </c>
      <c r="H3">
        <v>0.13159999999999999</v>
      </c>
      <c r="I3">
        <v>0.1487</v>
      </c>
      <c r="J3">
        <v>0.1593</v>
      </c>
      <c r="K3">
        <v>0.1963</v>
      </c>
      <c r="L3" s="9" t="s">
        <v>161</v>
      </c>
      <c r="M3" s="9" t="s">
        <v>161</v>
      </c>
    </row>
    <row r="4" spans="1:18" x14ac:dyDescent="0.35">
      <c r="A4" s="9" t="s">
        <v>48</v>
      </c>
      <c r="B4">
        <v>0.1086</v>
      </c>
      <c r="C4">
        <v>0.1101</v>
      </c>
      <c r="D4">
        <v>0.1237</v>
      </c>
      <c r="E4">
        <v>0.1227</v>
      </c>
      <c r="F4">
        <v>0.125</v>
      </c>
      <c r="G4">
        <v>0.13100000000000001</v>
      </c>
      <c r="H4">
        <v>0.13669999999999999</v>
      </c>
      <c r="I4">
        <v>0.14899999999999999</v>
      </c>
      <c r="J4">
        <v>0.1797</v>
      </c>
      <c r="K4">
        <v>0.19450000000000001</v>
      </c>
      <c r="L4" s="9" t="s">
        <v>161</v>
      </c>
      <c r="M4" s="9" t="s">
        <v>161</v>
      </c>
    </row>
    <row r="5" spans="1:18" x14ac:dyDescent="0.35">
      <c r="A5" s="9" t="s">
        <v>49</v>
      </c>
      <c r="B5">
        <v>0.10730000000000001</v>
      </c>
      <c r="C5">
        <v>0.114</v>
      </c>
      <c r="D5">
        <v>0.1145</v>
      </c>
      <c r="E5">
        <v>0.12590000000000001</v>
      </c>
      <c r="F5">
        <v>0.12959999999999999</v>
      </c>
      <c r="G5">
        <v>0.1409</v>
      </c>
      <c r="H5">
        <v>0.15509999999999999</v>
      </c>
      <c r="I5">
        <v>0.159</v>
      </c>
      <c r="J5">
        <v>0.19120000000000001</v>
      </c>
      <c r="K5">
        <v>0.2238</v>
      </c>
      <c r="L5" s="9" t="s">
        <v>161</v>
      </c>
      <c r="M5" s="9" t="s">
        <v>161</v>
      </c>
    </row>
    <row r="6" spans="1:18" x14ac:dyDescent="0.35">
      <c r="A6" s="9" t="s">
        <v>50</v>
      </c>
      <c r="B6">
        <v>0.10970000000000001</v>
      </c>
      <c r="C6">
        <v>0.1162</v>
      </c>
      <c r="D6">
        <v>0.1197</v>
      </c>
      <c r="E6">
        <v>0.1234</v>
      </c>
      <c r="F6">
        <v>0.1394</v>
      </c>
      <c r="G6">
        <v>0.14050000000000001</v>
      </c>
      <c r="H6">
        <v>0.1603</v>
      </c>
      <c r="I6">
        <v>0.16700000000000001</v>
      </c>
      <c r="J6">
        <v>0.19589999999999999</v>
      </c>
      <c r="K6">
        <v>0.23769999999999999</v>
      </c>
      <c r="L6" s="9" t="s">
        <v>161</v>
      </c>
      <c r="M6" s="9" t="s">
        <v>161</v>
      </c>
    </row>
    <row r="7" spans="1:18" x14ac:dyDescent="0.35">
      <c r="A7" s="9" t="s">
        <v>51</v>
      </c>
      <c r="B7">
        <v>0.1094</v>
      </c>
      <c r="C7">
        <v>0.1171</v>
      </c>
      <c r="D7">
        <v>0.11409999999999999</v>
      </c>
      <c r="E7">
        <v>0.1201</v>
      </c>
      <c r="F7">
        <v>0.12870000000000001</v>
      </c>
      <c r="G7">
        <v>0.14399999999999999</v>
      </c>
      <c r="H7">
        <v>0.14949999999999999</v>
      </c>
      <c r="I7">
        <v>0.17419999999999999</v>
      </c>
      <c r="J7">
        <v>0.2006</v>
      </c>
      <c r="K7">
        <v>0.23330000000000001</v>
      </c>
      <c r="L7" s="9" t="s">
        <v>161</v>
      </c>
      <c r="M7" s="9" t="s">
        <v>161</v>
      </c>
    </row>
    <row r="8" spans="1:18" x14ac:dyDescent="0.35">
      <c r="A8" s="9" t="s">
        <v>52</v>
      </c>
      <c r="B8" s="9" t="s">
        <v>161</v>
      </c>
      <c r="C8" s="9" t="s">
        <v>161</v>
      </c>
      <c r="D8" s="9" t="s">
        <v>161</v>
      </c>
      <c r="E8" s="9" t="s">
        <v>161</v>
      </c>
      <c r="F8" s="9" t="s">
        <v>161</v>
      </c>
      <c r="G8" s="9" t="s">
        <v>161</v>
      </c>
      <c r="H8" s="9" t="s">
        <v>161</v>
      </c>
      <c r="I8" s="9" t="s">
        <v>161</v>
      </c>
      <c r="J8" s="9" t="s">
        <v>161</v>
      </c>
      <c r="K8" s="9" t="s">
        <v>161</v>
      </c>
      <c r="L8" s="9" t="s">
        <v>161</v>
      </c>
      <c r="M8" s="9" t="s">
        <v>161</v>
      </c>
    </row>
    <row r="9" spans="1:18" x14ac:dyDescent="0.35">
      <c r="A9" s="9" t="s">
        <v>53</v>
      </c>
      <c r="B9" s="9" t="s">
        <v>161</v>
      </c>
      <c r="C9" s="9" t="s">
        <v>161</v>
      </c>
      <c r="D9" s="9" t="s">
        <v>161</v>
      </c>
      <c r="E9" s="9" t="s">
        <v>161</v>
      </c>
      <c r="F9" s="9" t="s">
        <v>161</v>
      </c>
      <c r="G9" s="9" t="s">
        <v>161</v>
      </c>
      <c r="H9" s="9" t="s">
        <v>161</v>
      </c>
      <c r="I9" s="9" t="s">
        <v>161</v>
      </c>
      <c r="J9" s="9" t="s">
        <v>161</v>
      </c>
      <c r="K9" s="9" t="s">
        <v>161</v>
      </c>
      <c r="L9" s="9" t="s">
        <v>161</v>
      </c>
      <c r="M9" s="9" t="s">
        <v>161</v>
      </c>
    </row>
    <row r="14" spans="1:18" x14ac:dyDescent="0.35">
      <c r="A14" t="s">
        <v>136</v>
      </c>
      <c r="J14" s="15" t="s">
        <v>160</v>
      </c>
      <c r="K14" s="16" t="s">
        <v>175</v>
      </c>
      <c r="L14" s="16" t="s">
        <v>176</v>
      </c>
      <c r="M14" s="16" t="s">
        <v>177</v>
      </c>
      <c r="N14" s="16"/>
      <c r="O14" s="16" t="s">
        <v>160</v>
      </c>
      <c r="P14" s="16" t="s">
        <v>178</v>
      </c>
      <c r="Q14" s="16" t="s">
        <v>179</v>
      </c>
      <c r="R14" s="17" t="s">
        <v>180</v>
      </c>
    </row>
    <row r="15" spans="1:18" x14ac:dyDescent="0.35">
      <c r="A15" t="s">
        <v>137</v>
      </c>
      <c r="J15" s="18">
        <v>0</v>
      </c>
      <c r="K15" s="14">
        <v>0.1108</v>
      </c>
      <c r="L15" s="14">
        <v>0.1115</v>
      </c>
      <c r="M15" s="14">
        <v>0.1086</v>
      </c>
      <c r="N15" s="14"/>
      <c r="O15" s="14">
        <v>0</v>
      </c>
      <c r="P15" s="14">
        <v>0.10730000000000001</v>
      </c>
      <c r="Q15" s="14">
        <v>0.10970000000000001</v>
      </c>
      <c r="R15" s="19">
        <v>0.1094</v>
      </c>
    </row>
    <row r="16" spans="1:18" x14ac:dyDescent="0.35">
      <c r="A16" t="s">
        <v>138</v>
      </c>
      <c r="J16" s="18">
        <v>1.6</v>
      </c>
      <c r="K16" s="14">
        <v>0.115</v>
      </c>
      <c r="L16" s="14">
        <v>0.11260000000000001</v>
      </c>
      <c r="M16" s="14">
        <v>0.1101</v>
      </c>
      <c r="N16" s="14"/>
      <c r="O16" s="14">
        <v>1.6</v>
      </c>
      <c r="P16" s="14">
        <v>0.114</v>
      </c>
      <c r="Q16" s="14">
        <v>0.1162</v>
      </c>
      <c r="R16" s="19">
        <v>0.1171</v>
      </c>
    </row>
    <row r="17" spans="1:18" x14ac:dyDescent="0.35">
      <c r="A17" t="s">
        <v>139</v>
      </c>
      <c r="J17" s="18">
        <v>3.2</v>
      </c>
      <c r="K17" s="14">
        <v>0.113</v>
      </c>
      <c r="L17" s="14">
        <v>0.12180000000000001</v>
      </c>
      <c r="M17" s="14">
        <v>0.1237</v>
      </c>
      <c r="N17" s="14"/>
      <c r="O17" s="14">
        <v>3.2</v>
      </c>
      <c r="P17" s="14">
        <v>0.1145</v>
      </c>
      <c r="Q17" s="14">
        <v>0.1197</v>
      </c>
      <c r="R17" s="19">
        <v>0.11409999999999999</v>
      </c>
    </row>
    <row r="18" spans="1:18" x14ac:dyDescent="0.35">
      <c r="A18" t="s">
        <v>15</v>
      </c>
      <c r="J18" s="18">
        <v>5.6</v>
      </c>
      <c r="K18" s="14">
        <v>0.1197</v>
      </c>
      <c r="L18" s="14">
        <v>0.12230000000000001</v>
      </c>
      <c r="M18" s="14">
        <v>0.1227</v>
      </c>
      <c r="N18" s="14"/>
      <c r="O18" s="14">
        <v>5.6</v>
      </c>
      <c r="P18" s="14">
        <v>0.12590000000000001</v>
      </c>
      <c r="Q18" s="14">
        <v>0.1234</v>
      </c>
      <c r="R18" s="19">
        <v>0.1201</v>
      </c>
    </row>
    <row r="19" spans="1:18" x14ac:dyDescent="0.35">
      <c r="A19" t="s">
        <v>162</v>
      </c>
      <c r="J19" s="18">
        <v>8</v>
      </c>
      <c r="K19" s="14">
        <v>0.12180000000000001</v>
      </c>
      <c r="L19" s="14">
        <v>0.1202</v>
      </c>
      <c r="M19" s="14">
        <v>0.125</v>
      </c>
      <c r="N19" s="14"/>
      <c r="O19" s="14">
        <v>8</v>
      </c>
      <c r="P19" s="14">
        <v>0.12959999999999999</v>
      </c>
      <c r="Q19" s="14">
        <v>0.1394</v>
      </c>
      <c r="R19" s="19">
        <v>0.12870000000000001</v>
      </c>
    </row>
    <row r="20" spans="1:18" x14ac:dyDescent="0.35">
      <c r="A20" t="s">
        <v>141</v>
      </c>
      <c r="J20" s="18">
        <v>12</v>
      </c>
      <c r="K20" s="14">
        <v>0.12770000000000001</v>
      </c>
      <c r="L20" s="14">
        <v>0.13159999999999999</v>
      </c>
      <c r="M20" s="14">
        <v>0.13100000000000001</v>
      </c>
      <c r="N20" s="14"/>
      <c r="O20" s="14">
        <v>12</v>
      </c>
      <c r="P20" s="14">
        <v>0.1409</v>
      </c>
      <c r="Q20" s="14">
        <v>0.14050000000000001</v>
      </c>
      <c r="R20" s="19">
        <v>0.14399999999999999</v>
      </c>
    </row>
    <row r="21" spans="1:18" x14ac:dyDescent="0.35">
      <c r="A21" t="s">
        <v>142</v>
      </c>
      <c r="J21" s="18">
        <v>16</v>
      </c>
      <c r="K21" s="14">
        <v>0.13439999999999999</v>
      </c>
      <c r="L21" s="14">
        <v>0.13159999999999999</v>
      </c>
      <c r="M21" s="14">
        <v>0.13669999999999999</v>
      </c>
      <c r="N21" s="14"/>
      <c r="O21" s="14">
        <v>16</v>
      </c>
      <c r="P21" s="14">
        <v>0.15509999999999999</v>
      </c>
      <c r="Q21" s="14">
        <v>0.1603</v>
      </c>
      <c r="R21" s="19">
        <v>0.14949999999999999</v>
      </c>
    </row>
    <row r="22" spans="1:18" x14ac:dyDescent="0.35">
      <c r="A22" t="s">
        <v>143</v>
      </c>
      <c r="J22" s="18">
        <v>20</v>
      </c>
      <c r="K22" s="14">
        <v>0.1414</v>
      </c>
      <c r="L22" s="14">
        <v>0.1487</v>
      </c>
      <c r="M22" s="14">
        <v>0.14899999999999999</v>
      </c>
      <c r="N22" s="14"/>
      <c r="O22" s="14">
        <v>20</v>
      </c>
      <c r="P22" s="14">
        <v>0.159</v>
      </c>
      <c r="Q22" s="14">
        <v>0.16700000000000001</v>
      </c>
      <c r="R22" s="19">
        <v>0.17419999999999999</v>
      </c>
    </row>
    <row r="23" spans="1:18" x14ac:dyDescent="0.35">
      <c r="A23" t="s">
        <v>184</v>
      </c>
      <c r="J23" s="18">
        <v>28</v>
      </c>
      <c r="K23" s="14">
        <v>0.1673</v>
      </c>
      <c r="L23" s="14">
        <v>0.1593</v>
      </c>
      <c r="M23" s="14">
        <v>0.1797</v>
      </c>
      <c r="N23" s="14"/>
      <c r="O23" s="14">
        <v>28</v>
      </c>
      <c r="P23" s="14">
        <v>0.19120000000000001</v>
      </c>
      <c r="Q23" s="14">
        <v>0.19589999999999999</v>
      </c>
      <c r="R23" s="19">
        <v>0.2006</v>
      </c>
    </row>
    <row r="24" spans="1:18" x14ac:dyDescent="0.35">
      <c r="A24" t="s">
        <v>164</v>
      </c>
      <c r="J24" s="18">
        <v>36</v>
      </c>
      <c r="K24" s="14">
        <v>0.1784</v>
      </c>
      <c r="L24" s="14">
        <v>0.1963</v>
      </c>
      <c r="M24" s="14">
        <v>0.19450000000000001</v>
      </c>
      <c r="N24" s="14"/>
      <c r="O24" s="14">
        <v>36</v>
      </c>
      <c r="P24" s="14">
        <v>0.2238</v>
      </c>
      <c r="Q24" s="14">
        <v>0.23769999999999999</v>
      </c>
      <c r="R24" s="19">
        <v>0.23330000000000001</v>
      </c>
    </row>
    <row r="25" spans="1:18" x14ac:dyDescent="0.35">
      <c r="A25" t="s">
        <v>165</v>
      </c>
      <c r="J25" s="91"/>
      <c r="K25" s="77"/>
      <c r="L25" s="77"/>
      <c r="M25" s="77"/>
      <c r="N25" s="77"/>
      <c r="O25" s="77"/>
      <c r="P25" s="77"/>
      <c r="Q25" s="77"/>
      <c r="R25" s="92"/>
    </row>
    <row r="26" spans="1:18" x14ac:dyDescent="0.35">
      <c r="A26" t="s">
        <v>166</v>
      </c>
    </row>
    <row r="27" spans="1:18" x14ac:dyDescent="0.35">
      <c r="A27" t="s">
        <v>167</v>
      </c>
    </row>
    <row r="28" spans="1:18" x14ac:dyDescent="0.35">
      <c r="A28" t="s">
        <v>168</v>
      </c>
    </row>
    <row r="29" spans="1:18" x14ac:dyDescent="0.35">
      <c r="A29" t="s">
        <v>169</v>
      </c>
    </row>
    <row r="30" spans="1:18" x14ac:dyDescent="0.35">
      <c r="A30" t="s">
        <v>152</v>
      </c>
    </row>
    <row r="31" spans="1:18" x14ac:dyDescent="0.35">
      <c r="A31" t="s">
        <v>153</v>
      </c>
    </row>
    <row r="32" spans="1:18" x14ac:dyDescent="0.35">
      <c r="A32" t="s">
        <v>157</v>
      </c>
    </row>
    <row r="33" spans="1:1" x14ac:dyDescent="0.35">
      <c r="A33" t="s">
        <v>185</v>
      </c>
    </row>
    <row r="34" spans="1:1" x14ac:dyDescent="0.35">
      <c r="A34" t="s">
        <v>186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B4572-3615-47EE-A1A2-CFA469A4BE3F}">
  <dimension ref="A1:V97"/>
  <sheetViews>
    <sheetView workbookViewId="0">
      <selection activeCell="N40" sqref="N40"/>
    </sheetView>
  </sheetViews>
  <sheetFormatPr defaultRowHeight="14.5" x14ac:dyDescent="0.35"/>
  <sheetData>
    <row r="1" spans="1:9" s="7" customFormat="1" x14ac:dyDescent="0.35">
      <c r="A1" s="6" t="s">
        <v>216</v>
      </c>
    </row>
    <row r="2" spans="1:9" x14ac:dyDescent="0.35">
      <c r="A2" t="s">
        <v>0</v>
      </c>
      <c r="E2" t="s">
        <v>1</v>
      </c>
    </row>
    <row r="3" spans="1:9" x14ac:dyDescent="0.35">
      <c r="A3" t="s">
        <v>2</v>
      </c>
      <c r="E3" t="s">
        <v>3</v>
      </c>
      <c r="I3" t="s">
        <v>4</v>
      </c>
    </row>
    <row r="4" spans="1:9" x14ac:dyDescent="0.35">
      <c r="A4" t="s">
        <v>5</v>
      </c>
      <c r="E4" t="s">
        <v>6</v>
      </c>
    </row>
    <row r="6" spans="1:9" x14ac:dyDescent="0.35">
      <c r="A6" t="s">
        <v>7</v>
      </c>
      <c r="B6" t="s">
        <v>117</v>
      </c>
    </row>
    <row r="7" spans="1:9" x14ac:dyDescent="0.35">
      <c r="A7" t="s">
        <v>9</v>
      </c>
      <c r="B7" s="1" t="s">
        <v>118</v>
      </c>
    </row>
    <row r="10" spans="1:9" x14ac:dyDescent="0.35">
      <c r="A10" t="s">
        <v>11</v>
      </c>
      <c r="E10" t="s">
        <v>12</v>
      </c>
    </row>
    <row r="11" spans="1:9" x14ac:dyDescent="0.35">
      <c r="A11" t="s">
        <v>13</v>
      </c>
      <c r="E11" t="s">
        <v>14</v>
      </c>
    </row>
    <row r="12" spans="1:9" x14ac:dyDescent="0.35">
      <c r="A12" t="s">
        <v>15</v>
      </c>
      <c r="E12" t="s">
        <v>119</v>
      </c>
    </row>
    <row r="13" spans="1:9" x14ac:dyDescent="0.35">
      <c r="A13" t="s">
        <v>17</v>
      </c>
    </row>
    <row r="16" spans="1:9" x14ac:dyDescent="0.35">
      <c r="A16" t="s">
        <v>18</v>
      </c>
    </row>
    <row r="17" spans="1:22" x14ac:dyDescent="0.35">
      <c r="A17" t="s">
        <v>19</v>
      </c>
      <c r="E17" t="s">
        <v>120</v>
      </c>
    </row>
    <row r="18" spans="1:22" x14ac:dyDescent="0.35">
      <c r="A18" t="s">
        <v>121</v>
      </c>
      <c r="E18">
        <v>450</v>
      </c>
      <c r="F18" t="s">
        <v>22</v>
      </c>
    </row>
    <row r="19" spans="1:22" x14ac:dyDescent="0.35">
      <c r="A19" t="s">
        <v>122</v>
      </c>
      <c r="E19">
        <v>510</v>
      </c>
      <c r="F19" t="s">
        <v>22</v>
      </c>
    </row>
    <row r="20" spans="1:22" x14ac:dyDescent="0.35">
      <c r="A20" t="s">
        <v>123</v>
      </c>
      <c r="E20">
        <v>9</v>
      </c>
      <c r="F20" t="s">
        <v>22</v>
      </c>
    </row>
    <row r="21" spans="1:22" x14ac:dyDescent="0.35">
      <c r="A21" t="s">
        <v>124</v>
      </c>
      <c r="E21">
        <v>20</v>
      </c>
      <c r="F21" t="s">
        <v>22</v>
      </c>
    </row>
    <row r="22" spans="1:22" x14ac:dyDescent="0.35">
      <c r="A22" t="s">
        <v>125</v>
      </c>
      <c r="E22">
        <v>84</v>
      </c>
      <c r="F22" t="s">
        <v>126</v>
      </c>
    </row>
    <row r="23" spans="1:22" x14ac:dyDescent="0.35">
      <c r="A23" t="s">
        <v>24</v>
      </c>
      <c r="E23">
        <v>40</v>
      </c>
    </row>
    <row r="24" spans="1:22" x14ac:dyDescent="0.35">
      <c r="A24" t="s">
        <v>127</v>
      </c>
      <c r="E24">
        <v>20</v>
      </c>
      <c r="F24" t="s">
        <v>128</v>
      </c>
      <c r="P24" s="15" t="s">
        <v>160</v>
      </c>
      <c r="Q24" s="16" t="s">
        <v>158</v>
      </c>
      <c r="R24" s="16"/>
      <c r="S24" s="16" t="s">
        <v>160</v>
      </c>
      <c r="T24" s="16" t="s">
        <v>46</v>
      </c>
      <c r="U24" s="16" t="s">
        <v>47</v>
      </c>
      <c r="V24" s="17" t="s">
        <v>48</v>
      </c>
    </row>
    <row r="25" spans="1:22" x14ac:dyDescent="0.35">
      <c r="A25" t="s">
        <v>129</v>
      </c>
      <c r="E25">
        <v>0</v>
      </c>
      <c r="F25" t="s">
        <v>128</v>
      </c>
      <c r="P25" s="18">
        <v>0</v>
      </c>
      <c r="Q25" s="14">
        <v>11</v>
      </c>
      <c r="R25" s="14"/>
      <c r="S25" s="14">
        <v>0</v>
      </c>
      <c r="T25" s="14">
        <v>11</v>
      </c>
      <c r="U25" s="14">
        <v>13</v>
      </c>
      <c r="V25" s="19">
        <v>10</v>
      </c>
    </row>
    <row r="26" spans="1:22" x14ac:dyDescent="0.35">
      <c r="A26" t="s">
        <v>27</v>
      </c>
      <c r="E26">
        <v>0</v>
      </c>
      <c r="F26" t="s">
        <v>28</v>
      </c>
      <c r="P26" s="18">
        <v>50</v>
      </c>
      <c r="Q26" s="14">
        <v>169</v>
      </c>
      <c r="R26" s="14"/>
      <c r="S26" s="14">
        <v>50</v>
      </c>
      <c r="T26" s="14">
        <v>185</v>
      </c>
      <c r="U26" s="14">
        <v>183</v>
      </c>
      <c r="V26" s="19">
        <v>125</v>
      </c>
    </row>
    <row r="27" spans="1:22" x14ac:dyDescent="0.35">
      <c r="A27" t="s">
        <v>130</v>
      </c>
      <c r="E27">
        <v>20000</v>
      </c>
      <c r="F27" t="s">
        <v>131</v>
      </c>
      <c r="P27" s="18">
        <v>100</v>
      </c>
      <c r="Q27" s="14">
        <v>447</v>
      </c>
      <c r="R27" s="14"/>
      <c r="S27" s="14">
        <v>100</v>
      </c>
      <c r="T27" s="14">
        <v>490</v>
      </c>
      <c r="U27" s="14">
        <v>484</v>
      </c>
      <c r="V27" s="19">
        <v>494</v>
      </c>
    </row>
    <row r="28" spans="1:22" x14ac:dyDescent="0.35">
      <c r="A28" t="s">
        <v>30</v>
      </c>
      <c r="E28" t="s">
        <v>132</v>
      </c>
      <c r="P28" s="18">
        <v>200</v>
      </c>
      <c r="Q28" s="14">
        <v>2615</v>
      </c>
      <c r="R28" s="14"/>
      <c r="S28" s="14">
        <v>200</v>
      </c>
      <c r="T28" s="14">
        <v>3653</v>
      </c>
      <c r="U28" s="14">
        <v>3364</v>
      </c>
      <c r="V28" s="19">
        <v>2538</v>
      </c>
    </row>
    <row r="29" spans="1:22" x14ac:dyDescent="0.35">
      <c r="A29" t="s">
        <v>32</v>
      </c>
      <c r="B29" s="1" t="s">
        <v>133</v>
      </c>
      <c r="P29" s="18">
        <v>300</v>
      </c>
      <c r="Q29" s="14">
        <v>5678</v>
      </c>
      <c r="R29" s="14"/>
      <c r="S29" s="14">
        <v>300</v>
      </c>
      <c r="T29" s="14">
        <v>5971</v>
      </c>
      <c r="U29" s="14">
        <v>6386</v>
      </c>
      <c r="V29" s="19">
        <v>5654</v>
      </c>
    </row>
    <row r="30" spans="1:22" x14ac:dyDescent="0.35">
      <c r="P30" s="18">
        <v>400</v>
      </c>
      <c r="Q30" s="14">
        <v>10146</v>
      </c>
      <c r="R30" s="14"/>
      <c r="S30" s="14">
        <v>400</v>
      </c>
      <c r="T30" s="14">
        <v>10106</v>
      </c>
      <c r="U30" s="14">
        <v>9900</v>
      </c>
      <c r="V30" s="19">
        <v>8839</v>
      </c>
    </row>
    <row r="31" spans="1:22" x14ac:dyDescent="0.35">
      <c r="B31" t="s">
        <v>134</v>
      </c>
      <c r="P31" s="18">
        <v>500</v>
      </c>
      <c r="Q31" s="14">
        <v>13756</v>
      </c>
      <c r="R31" s="14"/>
      <c r="S31" s="14">
        <v>500</v>
      </c>
      <c r="T31" s="14">
        <v>13008</v>
      </c>
      <c r="U31" s="14">
        <v>13689</v>
      </c>
      <c r="V31" s="19">
        <v>12422</v>
      </c>
    </row>
    <row r="32" spans="1:22" x14ac:dyDescent="0.35">
      <c r="A32" s="2" t="s">
        <v>35</v>
      </c>
      <c r="B32" s="2">
        <v>1</v>
      </c>
      <c r="C32" s="2">
        <v>2</v>
      </c>
      <c r="D32" s="2">
        <v>3</v>
      </c>
      <c r="E32" s="2">
        <v>4</v>
      </c>
      <c r="F32" s="2">
        <v>5</v>
      </c>
      <c r="G32" s="2">
        <v>6</v>
      </c>
      <c r="H32" s="2">
        <v>7</v>
      </c>
      <c r="I32" s="2">
        <v>8</v>
      </c>
      <c r="J32" s="2">
        <v>9</v>
      </c>
      <c r="K32" s="2">
        <v>10</v>
      </c>
      <c r="L32" s="2">
        <v>11</v>
      </c>
      <c r="M32" s="2">
        <v>12</v>
      </c>
      <c r="P32" s="18">
        <v>700</v>
      </c>
      <c r="Q32" s="14">
        <v>21108</v>
      </c>
      <c r="R32" s="14"/>
      <c r="S32" s="14">
        <v>700</v>
      </c>
      <c r="T32" s="14">
        <v>19075</v>
      </c>
      <c r="U32" s="14">
        <v>19307</v>
      </c>
      <c r="V32" s="19">
        <v>18859</v>
      </c>
    </row>
    <row r="33" spans="1:22" x14ac:dyDescent="0.35">
      <c r="A33" s="2" t="s">
        <v>50</v>
      </c>
      <c r="B33">
        <v>11</v>
      </c>
      <c r="C33">
        <v>169</v>
      </c>
      <c r="D33">
        <v>447</v>
      </c>
      <c r="E33">
        <v>2615</v>
      </c>
      <c r="F33">
        <v>5678</v>
      </c>
      <c r="G33">
        <v>10146</v>
      </c>
      <c r="H33">
        <v>13756</v>
      </c>
      <c r="I33">
        <v>21108</v>
      </c>
      <c r="J33">
        <v>26590</v>
      </c>
      <c r="K33">
        <v>32168</v>
      </c>
      <c r="P33" s="18">
        <v>800</v>
      </c>
      <c r="Q33" s="14">
        <v>26590</v>
      </c>
      <c r="R33" s="14"/>
      <c r="S33" s="14">
        <v>800</v>
      </c>
      <c r="T33" s="14">
        <v>23683</v>
      </c>
      <c r="U33" s="14">
        <v>23857</v>
      </c>
      <c r="V33" s="19">
        <v>22776</v>
      </c>
    </row>
    <row r="34" spans="1:22" x14ac:dyDescent="0.35">
      <c r="A34" s="2" t="s">
        <v>51</v>
      </c>
      <c r="B34">
        <v>11</v>
      </c>
      <c r="C34">
        <v>185</v>
      </c>
      <c r="D34">
        <v>490</v>
      </c>
      <c r="E34">
        <v>3653</v>
      </c>
      <c r="F34">
        <v>5971</v>
      </c>
      <c r="G34">
        <v>10106</v>
      </c>
      <c r="H34">
        <v>13008</v>
      </c>
      <c r="I34">
        <v>19075</v>
      </c>
      <c r="J34">
        <v>23683</v>
      </c>
      <c r="K34">
        <v>29159</v>
      </c>
      <c r="P34" s="20">
        <v>1000</v>
      </c>
      <c r="Q34" s="21">
        <v>32168</v>
      </c>
      <c r="R34" s="21"/>
      <c r="S34" s="21">
        <v>1000</v>
      </c>
      <c r="T34" s="21">
        <v>29159</v>
      </c>
      <c r="U34" s="21">
        <v>32168</v>
      </c>
      <c r="V34" s="22">
        <v>28613</v>
      </c>
    </row>
    <row r="35" spans="1:22" x14ac:dyDescent="0.35">
      <c r="A35" s="2" t="s">
        <v>52</v>
      </c>
      <c r="B35">
        <v>13</v>
      </c>
      <c r="C35">
        <v>183</v>
      </c>
      <c r="D35">
        <v>484</v>
      </c>
      <c r="E35">
        <v>3364</v>
      </c>
      <c r="F35">
        <v>6386</v>
      </c>
      <c r="G35">
        <v>9900</v>
      </c>
      <c r="H35">
        <v>13689</v>
      </c>
      <c r="I35">
        <v>19307</v>
      </c>
      <c r="J35">
        <v>23857</v>
      </c>
      <c r="K35">
        <v>32168</v>
      </c>
    </row>
    <row r="36" spans="1:22" x14ac:dyDescent="0.35">
      <c r="A36" s="2" t="s">
        <v>53</v>
      </c>
      <c r="B36">
        <v>10</v>
      </c>
      <c r="C36">
        <v>125</v>
      </c>
      <c r="D36">
        <v>494</v>
      </c>
      <c r="E36">
        <v>2538</v>
      </c>
      <c r="F36">
        <v>5654</v>
      </c>
      <c r="G36">
        <v>8839</v>
      </c>
      <c r="H36">
        <v>12422</v>
      </c>
      <c r="I36">
        <v>18859</v>
      </c>
      <c r="J36">
        <v>22776</v>
      </c>
      <c r="K36">
        <v>28613</v>
      </c>
    </row>
    <row r="41" spans="1:22" x14ac:dyDescent="0.35">
      <c r="A41" t="s">
        <v>54</v>
      </c>
      <c r="B41" s="1" t="s">
        <v>135</v>
      </c>
    </row>
    <row r="45" spans="1:22" s="7" customFormat="1" x14ac:dyDescent="0.35">
      <c r="A45" s="6" t="s">
        <v>217</v>
      </c>
    </row>
    <row r="46" spans="1:22" x14ac:dyDescent="0.35">
      <c r="A46" s="9" t="s">
        <v>35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22" x14ac:dyDescent="0.35">
      <c r="A47" s="9" t="s">
        <v>46</v>
      </c>
      <c r="B47" s="9" t="s">
        <v>161</v>
      </c>
      <c r="C47">
        <v>11</v>
      </c>
      <c r="D47">
        <v>12</v>
      </c>
      <c r="E47">
        <v>11</v>
      </c>
      <c r="F47">
        <v>11</v>
      </c>
      <c r="G47" s="9" t="s">
        <v>161</v>
      </c>
      <c r="H47" s="9" t="s">
        <v>161</v>
      </c>
      <c r="I47" s="9" t="s">
        <v>161</v>
      </c>
      <c r="J47" s="9" t="s">
        <v>161</v>
      </c>
      <c r="K47" s="9" t="s">
        <v>161</v>
      </c>
      <c r="L47" s="9" t="s">
        <v>161</v>
      </c>
      <c r="M47" s="9" t="s">
        <v>161</v>
      </c>
    </row>
    <row r="48" spans="1:22" x14ac:dyDescent="0.35">
      <c r="A48" s="9" t="s">
        <v>47</v>
      </c>
      <c r="B48" s="9" t="s">
        <v>161</v>
      </c>
      <c r="C48">
        <v>65</v>
      </c>
      <c r="D48">
        <v>35</v>
      </c>
      <c r="E48">
        <v>27</v>
      </c>
      <c r="F48">
        <v>26</v>
      </c>
      <c r="G48" s="9" t="s">
        <v>161</v>
      </c>
      <c r="H48" s="9" t="s">
        <v>161</v>
      </c>
      <c r="I48" s="9" t="s">
        <v>161</v>
      </c>
      <c r="J48" s="9" t="s">
        <v>161</v>
      </c>
      <c r="K48" s="9" t="s">
        <v>161</v>
      </c>
      <c r="L48" s="9" t="s">
        <v>161</v>
      </c>
      <c r="M48" s="9" t="s">
        <v>161</v>
      </c>
    </row>
    <row r="49" spans="1:13" x14ac:dyDescent="0.35">
      <c r="A49" s="9" t="s">
        <v>48</v>
      </c>
      <c r="B49" s="9" t="s">
        <v>161</v>
      </c>
      <c r="C49">
        <v>861</v>
      </c>
      <c r="D49">
        <v>266</v>
      </c>
      <c r="E49">
        <v>210</v>
      </c>
      <c r="F49">
        <v>124</v>
      </c>
      <c r="G49" s="9" t="s">
        <v>161</v>
      </c>
      <c r="H49" s="9" t="s">
        <v>161</v>
      </c>
      <c r="I49" s="9" t="s">
        <v>161</v>
      </c>
      <c r="J49" s="9" t="s">
        <v>161</v>
      </c>
      <c r="K49" s="9" t="s">
        <v>161</v>
      </c>
      <c r="L49" s="9" t="s">
        <v>161</v>
      </c>
      <c r="M49" s="9" t="s">
        <v>161</v>
      </c>
    </row>
    <row r="50" spans="1:13" x14ac:dyDescent="0.35">
      <c r="A50" s="9" t="s">
        <v>49</v>
      </c>
      <c r="B50" s="9" t="s">
        <v>161</v>
      </c>
      <c r="C50">
        <v>3990</v>
      </c>
      <c r="D50">
        <v>2183</v>
      </c>
      <c r="E50">
        <v>2214</v>
      </c>
      <c r="F50">
        <v>2127</v>
      </c>
      <c r="G50" s="9" t="s">
        <v>161</v>
      </c>
      <c r="H50" s="9" t="s">
        <v>161</v>
      </c>
      <c r="I50" s="9" t="s">
        <v>161</v>
      </c>
      <c r="J50" s="9" t="s">
        <v>161</v>
      </c>
      <c r="K50" s="9" t="s">
        <v>161</v>
      </c>
      <c r="L50" s="9" t="s">
        <v>161</v>
      </c>
      <c r="M50" s="9" t="s">
        <v>161</v>
      </c>
    </row>
    <row r="51" spans="1:13" x14ac:dyDescent="0.35">
      <c r="A51" s="9" t="s">
        <v>50</v>
      </c>
      <c r="B51" s="9" t="s">
        <v>161</v>
      </c>
      <c r="C51">
        <v>10189</v>
      </c>
      <c r="D51">
        <v>7338</v>
      </c>
      <c r="E51">
        <v>7464</v>
      </c>
      <c r="F51">
        <v>7586</v>
      </c>
      <c r="G51" s="9" t="s">
        <v>161</v>
      </c>
      <c r="H51" s="9" t="s">
        <v>161</v>
      </c>
      <c r="I51" s="9" t="s">
        <v>161</v>
      </c>
      <c r="J51" s="9" t="s">
        <v>161</v>
      </c>
      <c r="K51" s="9" t="s">
        <v>161</v>
      </c>
      <c r="L51" s="9" t="s">
        <v>161</v>
      </c>
      <c r="M51" s="9" t="s">
        <v>161</v>
      </c>
    </row>
    <row r="52" spans="1:13" x14ac:dyDescent="0.35">
      <c r="A52" s="9" t="s">
        <v>51</v>
      </c>
      <c r="B52" s="9" t="s">
        <v>161</v>
      </c>
      <c r="C52">
        <v>15028</v>
      </c>
      <c r="D52">
        <v>12651</v>
      </c>
      <c r="E52">
        <v>13375</v>
      </c>
      <c r="F52">
        <v>13609</v>
      </c>
      <c r="G52" s="9" t="s">
        <v>161</v>
      </c>
      <c r="H52" s="9" t="s">
        <v>161</v>
      </c>
      <c r="I52" s="9" t="s">
        <v>161</v>
      </c>
      <c r="J52" s="9" t="s">
        <v>161</v>
      </c>
      <c r="K52" s="9" t="s">
        <v>161</v>
      </c>
      <c r="L52" s="9" t="s">
        <v>161</v>
      </c>
      <c r="M52" s="9" t="s">
        <v>161</v>
      </c>
    </row>
    <row r="53" spans="1:13" x14ac:dyDescent="0.35">
      <c r="A53" s="9" t="s">
        <v>52</v>
      </c>
      <c r="B53" s="9" t="s">
        <v>161</v>
      </c>
      <c r="C53">
        <v>20517</v>
      </c>
      <c r="D53">
        <v>21587</v>
      </c>
      <c r="E53">
        <v>21010</v>
      </c>
      <c r="F53">
        <v>20267</v>
      </c>
      <c r="G53" s="9" t="s">
        <v>161</v>
      </c>
      <c r="H53" s="9" t="s">
        <v>161</v>
      </c>
      <c r="I53" s="9" t="s">
        <v>161</v>
      </c>
      <c r="J53" s="9" t="s">
        <v>161</v>
      </c>
      <c r="K53" s="9" t="s">
        <v>161</v>
      </c>
      <c r="L53" s="9" t="s">
        <v>161</v>
      </c>
      <c r="M53" s="9" t="s">
        <v>161</v>
      </c>
    </row>
    <row r="54" spans="1:13" x14ac:dyDescent="0.35">
      <c r="A54" s="9" t="s">
        <v>53</v>
      </c>
      <c r="B54" s="9" t="s">
        <v>161</v>
      </c>
      <c r="C54">
        <v>34218</v>
      </c>
      <c r="D54">
        <v>33164</v>
      </c>
      <c r="E54">
        <v>30777</v>
      </c>
      <c r="F54">
        <v>30844</v>
      </c>
      <c r="G54" s="9" t="s">
        <v>161</v>
      </c>
      <c r="H54" s="9" t="s">
        <v>161</v>
      </c>
      <c r="I54" s="9" t="s">
        <v>161</v>
      </c>
      <c r="J54" s="9" t="s">
        <v>161</v>
      </c>
      <c r="K54" s="9" t="s">
        <v>161</v>
      </c>
      <c r="L54" s="9" t="s">
        <v>161</v>
      </c>
      <c r="M54" s="9" t="s">
        <v>161</v>
      </c>
    </row>
    <row r="56" spans="1:13" x14ac:dyDescent="0.35">
      <c r="C56" s="13" t="s">
        <v>158</v>
      </c>
    </row>
    <row r="60" spans="1:13" x14ac:dyDescent="0.35">
      <c r="A60" t="s">
        <v>136</v>
      </c>
      <c r="G60" s="15" t="s">
        <v>203</v>
      </c>
      <c r="H60" s="16"/>
      <c r="I60" s="16"/>
      <c r="J60" s="16"/>
      <c r="K60" s="16"/>
      <c r="L60" s="16"/>
      <c r="M60" s="17"/>
    </row>
    <row r="61" spans="1:13" x14ac:dyDescent="0.35">
      <c r="A61" t="s">
        <v>137</v>
      </c>
      <c r="G61" s="18" t="s">
        <v>160</v>
      </c>
      <c r="H61" s="14" t="s">
        <v>158</v>
      </c>
      <c r="I61" s="14"/>
      <c r="J61" s="14" t="s">
        <v>160</v>
      </c>
      <c r="K61" s="14" t="s">
        <v>46</v>
      </c>
      <c r="L61" s="14" t="s">
        <v>47</v>
      </c>
      <c r="M61" s="19" t="s">
        <v>48</v>
      </c>
    </row>
    <row r="62" spans="1:13" x14ac:dyDescent="0.35">
      <c r="A62" t="s">
        <v>138</v>
      </c>
      <c r="G62" s="18">
        <v>0</v>
      </c>
      <c r="H62" s="14">
        <v>11</v>
      </c>
      <c r="I62" s="14"/>
      <c r="J62" s="14">
        <v>0</v>
      </c>
      <c r="K62" s="14">
        <v>12</v>
      </c>
      <c r="L62" s="14">
        <v>11</v>
      </c>
      <c r="M62" s="19">
        <v>11</v>
      </c>
    </row>
    <row r="63" spans="1:13" x14ac:dyDescent="0.35">
      <c r="A63" t="s">
        <v>139</v>
      </c>
      <c r="G63" s="18">
        <v>50</v>
      </c>
      <c r="H63" s="14">
        <v>65</v>
      </c>
      <c r="I63" s="14"/>
      <c r="J63" s="14">
        <v>50</v>
      </c>
      <c r="K63" s="14">
        <v>35</v>
      </c>
      <c r="L63" s="14">
        <v>27</v>
      </c>
      <c r="M63" s="19">
        <v>26</v>
      </c>
    </row>
    <row r="64" spans="1:13" x14ac:dyDescent="0.35">
      <c r="A64" t="s">
        <v>15</v>
      </c>
      <c r="G64" s="18">
        <v>100</v>
      </c>
      <c r="H64" s="14">
        <v>861</v>
      </c>
      <c r="I64" s="14"/>
      <c r="J64" s="14">
        <v>100</v>
      </c>
      <c r="K64" s="14">
        <v>266</v>
      </c>
      <c r="L64" s="14">
        <v>210</v>
      </c>
      <c r="M64" s="19">
        <v>124</v>
      </c>
    </row>
    <row r="65" spans="1:13" x14ac:dyDescent="0.35">
      <c r="A65" t="s">
        <v>140</v>
      </c>
      <c r="G65" s="18">
        <v>200</v>
      </c>
      <c r="H65" s="14">
        <v>3990</v>
      </c>
      <c r="I65" s="14"/>
      <c r="J65" s="14">
        <v>200</v>
      </c>
      <c r="K65" s="14">
        <v>2183</v>
      </c>
      <c r="L65" s="14">
        <v>2214</v>
      </c>
      <c r="M65" s="19">
        <v>2127</v>
      </c>
    </row>
    <row r="66" spans="1:13" x14ac:dyDescent="0.35">
      <c r="A66" t="s">
        <v>141</v>
      </c>
      <c r="G66" s="18">
        <v>350</v>
      </c>
      <c r="H66" s="14">
        <v>10189</v>
      </c>
      <c r="I66" s="14"/>
      <c r="J66" s="14">
        <v>350</v>
      </c>
      <c r="K66" s="14">
        <v>7338</v>
      </c>
      <c r="L66" s="14">
        <v>7464</v>
      </c>
      <c r="M66" s="19">
        <v>7586</v>
      </c>
    </row>
    <row r="67" spans="1:13" x14ac:dyDescent="0.35">
      <c r="A67" t="s">
        <v>142</v>
      </c>
      <c r="G67" s="18">
        <v>500</v>
      </c>
      <c r="H67" s="14">
        <v>15028</v>
      </c>
      <c r="I67" s="14"/>
      <c r="J67" s="14">
        <v>500</v>
      </c>
      <c r="K67" s="14">
        <v>12651</v>
      </c>
      <c r="L67" s="14">
        <v>13375</v>
      </c>
      <c r="M67" s="19">
        <v>13609</v>
      </c>
    </row>
    <row r="68" spans="1:13" x14ac:dyDescent="0.35">
      <c r="A68" t="s">
        <v>143</v>
      </c>
      <c r="G68" s="18">
        <v>700</v>
      </c>
      <c r="H68" s="14">
        <v>20517</v>
      </c>
      <c r="I68" s="14"/>
      <c r="J68" s="14">
        <v>700</v>
      </c>
      <c r="K68" s="14">
        <v>21587</v>
      </c>
      <c r="L68" s="14">
        <v>21010</v>
      </c>
      <c r="M68" s="19">
        <v>20267</v>
      </c>
    </row>
    <row r="69" spans="1:13" x14ac:dyDescent="0.35">
      <c r="A69" t="s">
        <v>204</v>
      </c>
      <c r="G69" s="20">
        <v>1000</v>
      </c>
      <c r="H69" s="21">
        <v>34218</v>
      </c>
      <c r="I69" s="21"/>
      <c r="J69" s="21">
        <v>1000</v>
      </c>
      <c r="K69" s="21">
        <v>33164</v>
      </c>
      <c r="L69" s="21">
        <v>30777</v>
      </c>
      <c r="M69" s="22">
        <v>30844</v>
      </c>
    </row>
    <row r="70" spans="1:13" x14ac:dyDescent="0.35">
      <c r="A70" t="s">
        <v>164</v>
      </c>
    </row>
    <row r="71" spans="1:13" x14ac:dyDescent="0.35">
      <c r="A71" t="s">
        <v>165</v>
      </c>
    </row>
    <row r="72" spans="1:13" x14ac:dyDescent="0.35">
      <c r="A72" t="s">
        <v>166</v>
      </c>
    </row>
    <row r="73" spans="1:13" x14ac:dyDescent="0.35">
      <c r="A73" t="s">
        <v>197</v>
      </c>
    </row>
    <row r="74" spans="1:13" x14ac:dyDescent="0.35">
      <c r="A74" t="s">
        <v>198</v>
      </c>
    </row>
    <row r="75" spans="1:13" x14ac:dyDescent="0.35">
      <c r="A75" t="s">
        <v>205</v>
      </c>
    </row>
    <row r="76" spans="1:13" x14ac:dyDescent="0.35">
      <c r="A76" t="s">
        <v>206</v>
      </c>
    </row>
    <row r="77" spans="1:13" x14ac:dyDescent="0.35">
      <c r="A77" t="s">
        <v>207</v>
      </c>
    </row>
    <row r="78" spans="1:13" x14ac:dyDescent="0.35">
      <c r="A78" t="s">
        <v>208</v>
      </c>
    </row>
    <row r="79" spans="1:13" x14ac:dyDescent="0.35">
      <c r="A79" t="s">
        <v>209</v>
      </c>
    </row>
    <row r="80" spans="1:13" x14ac:dyDescent="0.35">
      <c r="A80" t="s">
        <v>210</v>
      </c>
    </row>
    <row r="81" spans="1:1" x14ac:dyDescent="0.35">
      <c r="A81" t="s">
        <v>144</v>
      </c>
    </row>
    <row r="82" spans="1:1" x14ac:dyDescent="0.35">
      <c r="A82" t="s">
        <v>145</v>
      </c>
    </row>
    <row r="83" spans="1:1" x14ac:dyDescent="0.35">
      <c r="A83" t="s">
        <v>146</v>
      </c>
    </row>
    <row r="84" spans="1:1" x14ac:dyDescent="0.35">
      <c r="A84" t="s">
        <v>147</v>
      </c>
    </row>
    <row r="85" spans="1:1" x14ac:dyDescent="0.35">
      <c r="A85" t="s">
        <v>148</v>
      </c>
    </row>
    <row r="86" spans="1:1" x14ac:dyDescent="0.35">
      <c r="A86" t="s">
        <v>149</v>
      </c>
    </row>
    <row r="87" spans="1:1" x14ac:dyDescent="0.35">
      <c r="A87" t="s">
        <v>150</v>
      </c>
    </row>
    <row r="88" spans="1:1" x14ac:dyDescent="0.35">
      <c r="A88" t="s">
        <v>151</v>
      </c>
    </row>
    <row r="89" spans="1:1" x14ac:dyDescent="0.35">
      <c r="A89" t="s">
        <v>211</v>
      </c>
    </row>
    <row r="90" spans="1:1" x14ac:dyDescent="0.35">
      <c r="A90" t="s">
        <v>153</v>
      </c>
    </row>
    <row r="91" spans="1:1" x14ac:dyDescent="0.35">
      <c r="A91" t="s">
        <v>154</v>
      </c>
    </row>
    <row r="92" spans="1:1" x14ac:dyDescent="0.35">
      <c r="A92" t="s">
        <v>212</v>
      </c>
    </row>
    <row r="93" spans="1:1" x14ac:dyDescent="0.35">
      <c r="A93" t="s">
        <v>155</v>
      </c>
    </row>
    <row r="94" spans="1:1" x14ac:dyDescent="0.35">
      <c r="A94" t="s">
        <v>156</v>
      </c>
    </row>
    <row r="95" spans="1:1" x14ac:dyDescent="0.35">
      <c r="A95" t="s">
        <v>213</v>
      </c>
    </row>
    <row r="96" spans="1:1" x14ac:dyDescent="0.35">
      <c r="A96" t="s">
        <v>214</v>
      </c>
    </row>
    <row r="97" spans="1:1" x14ac:dyDescent="0.35">
      <c r="A97" t="s">
        <v>215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ABAFF-8DD3-449A-9911-635E9309D13B}">
  <dimension ref="A2:N145"/>
  <sheetViews>
    <sheetView workbookViewId="0">
      <selection activeCell="Q40" sqref="Q40"/>
    </sheetView>
  </sheetViews>
  <sheetFormatPr defaultRowHeight="14.5" x14ac:dyDescent="0.35"/>
  <sheetData>
    <row r="2" spans="1:13" x14ac:dyDescent="0.35">
      <c r="A2" s="9" t="s">
        <v>221</v>
      </c>
    </row>
    <row r="3" spans="1:13" x14ac:dyDescent="0.35">
      <c r="A3" s="9" t="s">
        <v>35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</row>
    <row r="4" spans="1:13" x14ac:dyDescent="0.35">
      <c r="A4" s="9" t="s">
        <v>46</v>
      </c>
      <c r="B4">
        <v>10.75</v>
      </c>
      <c r="C4">
        <v>13</v>
      </c>
      <c r="D4">
        <v>14</v>
      </c>
      <c r="E4">
        <v>9.25</v>
      </c>
      <c r="F4">
        <v>9</v>
      </c>
      <c r="G4">
        <v>11.25</v>
      </c>
    </row>
    <row r="5" spans="1:13" x14ac:dyDescent="0.35">
      <c r="A5" s="9" t="s">
        <v>47</v>
      </c>
      <c r="B5">
        <v>95.5</v>
      </c>
      <c r="C5">
        <v>80.25</v>
      </c>
      <c r="D5">
        <v>82.5</v>
      </c>
      <c r="E5">
        <v>172.75</v>
      </c>
      <c r="F5">
        <v>120.25</v>
      </c>
      <c r="G5">
        <v>99.25</v>
      </c>
    </row>
    <row r="6" spans="1:13" x14ac:dyDescent="0.35">
      <c r="A6" s="9" t="s">
        <v>48</v>
      </c>
      <c r="B6">
        <v>817.25</v>
      </c>
      <c r="C6">
        <v>624</v>
      </c>
      <c r="D6">
        <v>531.75</v>
      </c>
      <c r="E6">
        <v>1407.3</v>
      </c>
      <c r="F6">
        <v>772.5</v>
      </c>
      <c r="G6">
        <v>698</v>
      </c>
    </row>
    <row r="7" spans="1:13" x14ac:dyDescent="0.35">
      <c r="A7" s="9" t="s">
        <v>49</v>
      </c>
      <c r="B7">
        <v>3728.8</v>
      </c>
      <c r="C7">
        <v>2896.3</v>
      </c>
      <c r="D7">
        <v>2909.3</v>
      </c>
      <c r="E7">
        <v>4273</v>
      </c>
      <c r="F7">
        <v>3438.8</v>
      </c>
      <c r="G7">
        <v>3207.5</v>
      </c>
    </row>
    <row r="8" spans="1:13" x14ac:dyDescent="0.35">
      <c r="A8" s="9" t="s">
        <v>50</v>
      </c>
      <c r="B8">
        <v>9423.7999999999993</v>
      </c>
      <c r="C8">
        <v>8136.8</v>
      </c>
      <c r="D8">
        <v>8117.8</v>
      </c>
      <c r="E8">
        <v>10191</v>
      </c>
      <c r="F8">
        <v>8706.5</v>
      </c>
      <c r="G8">
        <v>8836</v>
      </c>
    </row>
    <row r="9" spans="1:13" x14ac:dyDescent="0.35">
      <c r="A9" s="9" t="s">
        <v>51</v>
      </c>
      <c r="B9">
        <v>14666</v>
      </c>
      <c r="C9">
        <v>13034</v>
      </c>
      <c r="D9">
        <v>13148</v>
      </c>
      <c r="E9">
        <v>15393</v>
      </c>
      <c r="F9">
        <v>13581</v>
      </c>
      <c r="G9">
        <v>14231</v>
      </c>
    </row>
    <row r="10" spans="1:13" x14ac:dyDescent="0.35">
      <c r="A10" s="9" t="s">
        <v>52</v>
      </c>
      <c r="B10">
        <v>21787</v>
      </c>
      <c r="C10">
        <v>20657</v>
      </c>
      <c r="D10">
        <v>20221</v>
      </c>
      <c r="E10">
        <v>21843</v>
      </c>
      <c r="F10">
        <v>20961</v>
      </c>
      <c r="G10">
        <v>21711</v>
      </c>
    </row>
    <row r="11" spans="1:13" x14ac:dyDescent="0.35">
      <c r="A11" s="9" t="s">
        <v>53</v>
      </c>
      <c r="B11">
        <v>31564</v>
      </c>
      <c r="C11">
        <v>30890</v>
      </c>
      <c r="D11">
        <v>29775</v>
      </c>
      <c r="E11">
        <v>33279</v>
      </c>
      <c r="F11">
        <v>31187</v>
      </c>
      <c r="G11">
        <v>31471</v>
      </c>
    </row>
    <row r="12" spans="1:13" x14ac:dyDescent="0.35">
      <c r="B12" s="93" t="s">
        <v>218</v>
      </c>
      <c r="C12" s="94" t="s">
        <v>219</v>
      </c>
      <c r="D12" s="94" t="s">
        <v>219</v>
      </c>
      <c r="E12" s="94" t="s">
        <v>220</v>
      </c>
      <c r="F12" s="94" t="s">
        <v>159</v>
      </c>
      <c r="G12" s="95" t="s">
        <v>159</v>
      </c>
    </row>
    <row r="16" spans="1:13" x14ac:dyDescent="0.35">
      <c r="A16" t="s">
        <v>136</v>
      </c>
    </row>
    <row r="17" spans="1:14" x14ac:dyDescent="0.35">
      <c r="A17" t="s">
        <v>137</v>
      </c>
    </row>
    <row r="18" spans="1:14" x14ac:dyDescent="0.35">
      <c r="A18" t="s">
        <v>138</v>
      </c>
      <c r="I18" s="15" t="s">
        <v>219</v>
      </c>
      <c r="J18" s="16"/>
      <c r="K18" s="16"/>
      <c r="L18" s="16"/>
      <c r="M18" s="16"/>
      <c r="N18" s="17"/>
    </row>
    <row r="19" spans="1:14" x14ac:dyDescent="0.35">
      <c r="A19" t="s">
        <v>139</v>
      </c>
      <c r="I19" s="18" t="s">
        <v>160</v>
      </c>
      <c r="J19" s="14" t="s">
        <v>158</v>
      </c>
      <c r="K19" s="14"/>
      <c r="L19" s="14" t="s">
        <v>160</v>
      </c>
      <c r="M19" s="14" t="s">
        <v>46</v>
      </c>
      <c r="N19" s="19" t="s">
        <v>47</v>
      </c>
    </row>
    <row r="20" spans="1:14" x14ac:dyDescent="0.35">
      <c r="A20" t="s">
        <v>15</v>
      </c>
      <c r="I20" s="18">
        <v>0</v>
      </c>
      <c r="J20" s="14">
        <v>10.75</v>
      </c>
      <c r="K20" s="14"/>
      <c r="L20" s="14">
        <v>0</v>
      </c>
      <c r="M20" s="14">
        <v>13</v>
      </c>
      <c r="N20" s="19">
        <v>14</v>
      </c>
    </row>
    <row r="21" spans="1:14" x14ac:dyDescent="0.35">
      <c r="A21" t="s">
        <v>140</v>
      </c>
      <c r="I21" s="18">
        <v>50</v>
      </c>
      <c r="J21" s="14">
        <v>95.5</v>
      </c>
      <c r="K21" s="14"/>
      <c r="L21" s="14">
        <v>50</v>
      </c>
      <c r="M21" s="14">
        <v>80.25</v>
      </c>
      <c r="N21" s="19">
        <v>82.5</v>
      </c>
    </row>
    <row r="22" spans="1:14" x14ac:dyDescent="0.35">
      <c r="A22" t="s">
        <v>141</v>
      </c>
      <c r="I22" s="18">
        <v>100</v>
      </c>
      <c r="J22" s="14">
        <v>817.25</v>
      </c>
      <c r="K22" s="14"/>
      <c r="L22" s="14">
        <v>100</v>
      </c>
      <c r="M22" s="14">
        <v>624</v>
      </c>
      <c r="N22" s="19">
        <v>531.75</v>
      </c>
    </row>
    <row r="23" spans="1:14" x14ac:dyDescent="0.35">
      <c r="A23" t="s">
        <v>142</v>
      </c>
      <c r="I23" s="18">
        <v>200</v>
      </c>
      <c r="J23" s="14">
        <v>3728.8</v>
      </c>
      <c r="K23" s="14"/>
      <c r="L23" s="14">
        <v>200</v>
      </c>
      <c r="M23" s="14">
        <v>2896.3</v>
      </c>
      <c r="N23" s="19">
        <v>2909.3</v>
      </c>
    </row>
    <row r="24" spans="1:14" x14ac:dyDescent="0.35">
      <c r="A24" t="s">
        <v>143</v>
      </c>
      <c r="I24" s="18">
        <v>350</v>
      </c>
      <c r="J24" s="14">
        <v>9423.7999999999993</v>
      </c>
      <c r="K24" s="14"/>
      <c r="L24" s="14">
        <v>350</v>
      </c>
      <c r="M24" s="14">
        <v>8136.8</v>
      </c>
      <c r="N24" s="19">
        <v>8117.8</v>
      </c>
    </row>
    <row r="25" spans="1:14" x14ac:dyDescent="0.35">
      <c r="A25" t="s">
        <v>222</v>
      </c>
      <c r="I25" s="18">
        <v>500</v>
      </c>
      <c r="J25" s="14">
        <v>14666</v>
      </c>
      <c r="K25" s="14"/>
      <c r="L25" s="14">
        <v>500</v>
      </c>
      <c r="M25" s="14">
        <v>13034</v>
      </c>
      <c r="N25" s="19">
        <v>13148</v>
      </c>
    </row>
    <row r="26" spans="1:14" x14ac:dyDescent="0.35">
      <c r="A26" t="s">
        <v>164</v>
      </c>
      <c r="I26" s="18">
        <v>700</v>
      </c>
      <c r="J26" s="14">
        <v>21787</v>
      </c>
      <c r="K26" s="14"/>
      <c r="L26" s="14">
        <v>700</v>
      </c>
      <c r="M26" s="14">
        <v>20657</v>
      </c>
      <c r="N26" s="19">
        <v>20221</v>
      </c>
    </row>
    <row r="27" spans="1:14" x14ac:dyDescent="0.35">
      <c r="A27" t="s">
        <v>165</v>
      </c>
      <c r="I27" s="18">
        <v>1000</v>
      </c>
      <c r="J27" s="14">
        <v>31564</v>
      </c>
      <c r="K27" s="14"/>
      <c r="L27" s="14">
        <v>1000</v>
      </c>
      <c r="M27" s="14">
        <v>30890</v>
      </c>
      <c r="N27" s="19">
        <v>29775</v>
      </c>
    </row>
    <row r="28" spans="1:14" x14ac:dyDescent="0.35">
      <c r="A28" t="s">
        <v>166</v>
      </c>
      <c r="I28" s="18"/>
      <c r="J28" s="14"/>
      <c r="K28" s="14"/>
      <c r="L28" s="14"/>
      <c r="M28" s="14"/>
      <c r="N28" s="19"/>
    </row>
    <row r="29" spans="1:14" x14ac:dyDescent="0.35">
      <c r="A29" t="s">
        <v>197</v>
      </c>
      <c r="I29" s="18" t="s">
        <v>159</v>
      </c>
      <c r="J29" s="14"/>
      <c r="K29" s="14"/>
      <c r="L29" s="14"/>
      <c r="M29" s="14"/>
      <c r="N29" s="19"/>
    </row>
    <row r="30" spans="1:14" x14ac:dyDescent="0.35">
      <c r="A30" t="s">
        <v>198</v>
      </c>
      <c r="I30" s="18" t="s">
        <v>160</v>
      </c>
      <c r="J30" s="14" t="s">
        <v>158</v>
      </c>
      <c r="K30" s="14"/>
      <c r="L30" s="14" t="s">
        <v>160</v>
      </c>
      <c r="M30" s="14" t="s">
        <v>46</v>
      </c>
      <c r="N30" s="19" t="s">
        <v>47</v>
      </c>
    </row>
    <row r="31" spans="1:14" x14ac:dyDescent="0.35">
      <c r="A31" t="s">
        <v>205</v>
      </c>
      <c r="I31" s="18">
        <v>0</v>
      </c>
      <c r="J31" s="14">
        <v>9.25</v>
      </c>
      <c r="K31" s="14"/>
      <c r="L31" s="14">
        <v>0</v>
      </c>
      <c r="M31" s="14">
        <v>9</v>
      </c>
      <c r="N31" s="19">
        <v>11.25</v>
      </c>
    </row>
    <row r="32" spans="1:14" x14ac:dyDescent="0.35">
      <c r="A32" t="s">
        <v>206</v>
      </c>
      <c r="I32" s="18">
        <v>50</v>
      </c>
      <c r="J32" s="14">
        <v>172.75</v>
      </c>
      <c r="K32" s="14"/>
      <c r="L32" s="14">
        <v>50</v>
      </c>
      <c r="M32" s="14">
        <v>120.25</v>
      </c>
      <c r="N32" s="19">
        <v>99.25</v>
      </c>
    </row>
    <row r="33" spans="1:14" x14ac:dyDescent="0.35">
      <c r="A33" t="s">
        <v>207</v>
      </c>
      <c r="I33" s="18">
        <v>100</v>
      </c>
      <c r="J33" s="14">
        <v>1407.3</v>
      </c>
      <c r="K33" s="14"/>
      <c r="L33" s="14">
        <v>100</v>
      </c>
      <c r="M33" s="14">
        <v>772.5</v>
      </c>
      <c r="N33" s="19">
        <v>698</v>
      </c>
    </row>
    <row r="34" spans="1:14" x14ac:dyDescent="0.35">
      <c r="A34" t="s">
        <v>208</v>
      </c>
      <c r="I34" s="18">
        <v>200</v>
      </c>
      <c r="J34" s="14">
        <v>4273</v>
      </c>
      <c r="K34" s="14"/>
      <c r="L34" s="14">
        <v>200</v>
      </c>
      <c r="M34" s="14">
        <v>3438.8</v>
      </c>
      <c r="N34" s="19">
        <v>3207.5</v>
      </c>
    </row>
    <row r="35" spans="1:14" x14ac:dyDescent="0.35">
      <c r="A35" t="s">
        <v>209</v>
      </c>
      <c r="I35" s="18">
        <v>350</v>
      </c>
      <c r="J35" s="14">
        <v>10191</v>
      </c>
      <c r="K35" s="14"/>
      <c r="L35" s="14">
        <v>350</v>
      </c>
      <c r="M35" s="14">
        <v>8706.5</v>
      </c>
      <c r="N35" s="19">
        <v>8836</v>
      </c>
    </row>
    <row r="36" spans="1:14" x14ac:dyDescent="0.35">
      <c r="A36" t="s">
        <v>210</v>
      </c>
      <c r="I36" s="18">
        <v>500</v>
      </c>
      <c r="J36" s="14">
        <v>15393</v>
      </c>
      <c r="K36" s="14"/>
      <c r="L36" s="14">
        <v>500</v>
      </c>
      <c r="M36" s="14">
        <v>13581</v>
      </c>
      <c r="N36" s="19">
        <v>14231</v>
      </c>
    </row>
    <row r="37" spans="1:14" x14ac:dyDescent="0.35">
      <c r="A37" t="s">
        <v>144</v>
      </c>
      <c r="I37" s="18">
        <v>700</v>
      </c>
      <c r="J37" s="14">
        <v>21843</v>
      </c>
      <c r="K37" s="14"/>
      <c r="L37" s="14">
        <v>700</v>
      </c>
      <c r="M37" s="14">
        <v>20961</v>
      </c>
      <c r="N37" s="19">
        <v>21711</v>
      </c>
    </row>
    <row r="38" spans="1:14" x14ac:dyDescent="0.35">
      <c r="A38" t="s">
        <v>145</v>
      </c>
      <c r="I38" s="20">
        <v>1000</v>
      </c>
      <c r="J38" s="21">
        <v>33279</v>
      </c>
      <c r="K38" s="21"/>
      <c r="L38" s="21">
        <v>1000</v>
      </c>
      <c r="M38" s="21">
        <v>31187</v>
      </c>
      <c r="N38" s="22">
        <v>31471</v>
      </c>
    </row>
    <row r="39" spans="1:14" x14ac:dyDescent="0.35">
      <c r="A39" t="s">
        <v>146</v>
      </c>
    </row>
    <row r="40" spans="1:14" x14ac:dyDescent="0.35">
      <c r="A40" t="s">
        <v>147</v>
      </c>
    </row>
    <row r="41" spans="1:14" x14ac:dyDescent="0.35">
      <c r="A41" t="s">
        <v>148</v>
      </c>
    </row>
    <row r="42" spans="1:14" x14ac:dyDescent="0.35">
      <c r="A42" t="s">
        <v>149</v>
      </c>
    </row>
    <row r="43" spans="1:14" x14ac:dyDescent="0.35">
      <c r="A43" t="s">
        <v>150</v>
      </c>
    </row>
    <row r="44" spans="1:14" x14ac:dyDescent="0.35">
      <c r="A44" t="s">
        <v>151</v>
      </c>
    </row>
    <row r="45" spans="1:14" x14ac:dyDescent="0.35">
      <c r="A45" t="s">
        <v>211</v>
      </c>
    </row>
    <row r="46" spans="1:14" x14ac:dyDescent="0.35">
      <c r="A46" t="s">
        <v>153</v>
      </c>
    </row>
    <row r="47" spans="1:14" x14ac:dyDescent="0.35">
      <c r="A47" t="s">
        <v>154</v>
      </c>
    </row>
    <row r="48" spans="1:14" x14ac:dyDescent="0.35">
      <c r="A48" t="s">
        <v>212</v>
      </c>
    </row>
    <row r="49" spans="1:1" x14ac:dyDescent="0.35">
      <c r="A49" t="s">
        <v>155</v>
      </c>
    </row>
    <row r="50" spans="1:1" x14ac:dyDescent="0.35">
      <c r="A50" t="s">
        <v>156</v>
      </c>
    </row>
    <row r="51" spans="1:1" x14ac:dyDescent="0.35">
      <c r="A51" t="s">
        <v>213</v>
      </c>
    </row>
    <row r="52" spans="1:1" x14ac:dyDescent="0.35">
      <c r="A52" t="s">
        <v>144</v>
      </c>
    </row>
    <row r="53" spans="1:1" x14ac:dyDescent="0.35">
      <c r="A53" t="s">
        <v>145</v>
      </c>
    </row>
    <row r="54" spans="1:1" x14ac:dyDescent="0.35">
      <c r="A54" t="s">
        <v>146</v>
      </c>
    </row>
    <row r="55" spans="1:1" x14ac:dyDescent="0.35">
      <c r="A55" t="s">
        <v>147</v>
      </c>
    </row>
    <row r="56" spans="1:1" x14ac:dyDescent="0.35">
      <c r="A56" t="s">
        <v>148</v>
      </c>
    </row>
    <row r="57" spans="1:1" x14ac:dyDescent="0.35">
      <c r="A57" t="s">
        <v>149</v>
      </c>
    </row>
    <row r="58" spans="1:1" x14ac:dyDescent="0.35">
      <c r="A58" t="s">
        <v>150</v>
      </c>
    </row>
    <row r="59" spans="1:1" x14ac:dyDescent="0.35">
      <c r="A59" t="s">
        <v>151</v>
      </c>
    </row>
    <row r="60" spans="1:1" x14ac:dyDescent="0.35">
      <c r="A60" t="s">
        <v>152</v>
      </c>
    </row>
    <row r="61" spans="1:1" x14ac:dyDescent="0.35">
      <c r="A61" t="s">
        <v>153</v>
      </c>
    </row>
    <row r="62" spans="1:1" x14ac:dyDescent="0.35">
      <c r="A62" t="s">
        <v>154</v>
      </c>
    </row>
    <row r="63" spans="1:1" x14ac:dyDescent="0.35">
      <c r="A63" t="s">
        <v>212</v>
      </c>
    </row>
    <row r="64" spans="1:1" x14ac:dyDescent="0.35">
      <c r="A64" t="s">
        <v>155</v>
      </c>
    </row>
    <row r="65" spans="1:10" x14ac:dyDescent="0.35">
      <c r="A65" t="s">
        <v>156</v>
      </c>
    </row>
    <row r="66" spans="1:10" x14ac:dyDescent="0.35">
      <c r="A66" t="s">
        <v>157</v>
      </c>
    </row>
    <row r="67" spans="1:10" x14ac:dyDescent="0.35">
      <c r="A67" t="s">
        <v>223</v>
      </c>
    </row>
    <row r="68" spans="1:10" x14ac:dyDescent="0.35">
      <c r="A68" t="s">
        <v>224</v>
      </c>
    </row>
    <row r="69" spans="1:10" x14ac:dyDescent="0.35">
      <c r="A69" t="s">
        <v>225</v>
      </c>
    </row>
    <row r="70" spans="1:10" x14ac:dyDescent="0.35">
      <c r="A70" t="s">
        <v>226</v>
      </c>
    </row>
    <row r="71" spans="1:10" x14ac:dyDescent="0.35">
      <c r="A71" t="s">
        <v>227</v>
      </c>
    </row>
    <row r="72" spans="1:10" x14ac:dyDescent="0.35">
      <c r="A72" t="s">
        <v>228</v>
      </c>
    </row>
    <row r="76" spans="1:10" x14ac:dyDescent="0.35">
      <c r="A76" s="9" t="s">
        <v>35</v>
      </c>
      <c r="B76">
        <v>1</v>
      </c>
      <c r="C76">
        <v>2</v>
      </c>
      <c r="D76">
        <v>3</v>
      </c>
      <c r="E76">
        <v>4</v>
      </c>
      <c r="F76">
        <v>5</v>
      </c>
      <c r="G76">
        <v>6</v>
      </c>
      <c r="H76">
        <v>7</v>
      </c>
      <c r="I76">
        <v>8</v>
      </c>
      <c r="J76">
        <v>9</v>
      </c>
    </row>
    <row r="77" spans="1:10" x14ac:dyDescent="0.35">
      <c r="A77" s="9" t="s">
        <v>46</v>
      </c>
      <c r="H77">
        <v>12.5</v>
      </c>
      <c r="I77">
        <v>10.75</v>
      </c>
      <c r="J77">
        <v>12</v>
      </c>
    </row>
    <row r="78" spans="1:10" x14ac:dyDescent="0.35">
      <c r="A78" s="9" t="s">
        <v>47</v>
      </c>
      <c r="H78">
        <v>315.25</v>
      </c>
      <c r="I78">
        <v>201.5</v>
      </c>
      <c r="J78">
        <v>116.5</v>
      </c>
    </row>
    <row r="79" spans="1:10" x14ac:dyDescent="0.35">
      <c r="A79" s="9" t="s">
        <v>48</v>
      </c>
      <c r="H79">
        <v>1805.8</v>
      </c>
      <c r="I79">
        <v>1374.8</v>
      </c>
      <c r="J79">
        <v>1330</v>
      </c>
    </row>
    <row r="80" spans="1:10" x14ac:dyDescent="0.35">
      <c r="A80" s="9" t="s">
        <v>49</v>
      </c>
      <c r="H80">
        <v>5172.3</v>
      </c>
      <c r="I80">
        <v>4036.8</v>
      </c>
      <c r="J80">
        <v>4276</v>
      </c>
    </row>
    <row r="81" spans="1:12" x14ac:dyDescent="0.35">
      <c r="A81" s="9" t="s">
        <v>50</v>
      </c>
      <c r="H81">
        <v>10409</v>
      </c>
      <c r="I81">
        <v>8829.5</v>
      </c>
      <c r="J81">
        <v>8891.5</v>
      </c>
    </row>
    <row r="82" spans="1:12" x14ac:dyDescent="0.35">
      <c r="A82" s="9" t="s">
        <v>51</v>
      </c>
      <c r="H82">
        <v>16212</v>
      </c>
      <c r="I82">
        <v>14868</v>
      </c>
      <c r="J82">
        <v>15399</v>
      </c>
    </row>
    <row r="83" spans="1:12" x14ac:dyDescent="0.35">
      <c r="A83" s="9" t="s">
        <v>52</v>
      </c>
      <c r="H83">
        <v>22969</v>
      </c>
      <c r="I83">
        <v>20504</v>
      </c>
      <c r="J83">
        <v>22964</v>
      </c>
    </row>
    <row r="84" spans="1:12" x14ac:dyDescent="0.35">
      <c r="A84" s="9" t="s">
        <v>53</v>
      </c>
      <c r="H84">
        <v>34147</v>
      </c>
      <c r="I84">
        <v>32804</v>
      </c>
      <c r="J84">
        <v>27240</v>
      </c>
    </row>
    <row r="89" spans="1:12" x14ac:dyDescent="0.35">
      <c r="A89" t="s">
        <v>136</v>
      </c>
    </row>
    <row r="90" spans="1:12" x14ac:dyDescent="0.35">
      <c r="A90" t="s">
        <v>137</v>
      </c>
    </row>
    <row r="91" spans="1:12" x14ac:dyDescent="0.35">
      <c r="A91" t="s">
        <v>138</v>
      </c>
      <c r="G91" s="15" t="s">
        <v>229</v>
      </c>
      <c r="H91" s="16"/>
      <c r="I91" s="16"/>
      <c r="J91" s="16"/>
      <c r="K91" s="16"/>
      <c r="L91" s="17"/>
    </row>
    <row r="92" spans="1:12" x14ac:dyDescent="0.35">
      <c r="A92" t="s">
        <v>139</v>
      </c>
      <c r="G92" s="18" t="s">
        <v>160</v>
      </c>
      <c r="H92" s="14" t="s">
        <v>158</v>
      </c>
      <c r="I92" s="14"/>
      <c r="J92" s="14" t="s">
        <v>160</v>
      </c>
      <c r="K92" s="14" t="s">
        <v>46</v>
      </c>
      <c r="L92" s="19" t="s">
        <v>47</v>
      </c>
    </row>
    <row r="93" spans="1:12" x14ac:dyDescent="0.35">
      <c r="A93" t="s">
        <v>15</v>
      </c>
      <c r="G93" s="18">
        <v>0</v>
      </c>
      <c r="H93" s="14">
        <v>12.5</v>
      </c>
      <c r="I93" s="14"/>
      <c r="J93" s="14">
        <v>0</v>
      </c>
      <c r="K93" s="14">
        <v>10.75</v>
      </c>
      <c r="L93" s="19">
        <v>12</v>
      </c>
    </row>
    <row r="94" spans="1:12" x14ac:dyDescent="0.35">
      <c r="A94" t="s">
        <v>140</v>
      </c>
      <c r="G94" s="18">
        <v>50</v>
      </c>
      <c r="H94" s="14">
        <v>315.25</v>
      </c>
      <c r="I94" s="14"/>
      <c r="J94" s="14">
        <v>50</v>
      </c>
      <c r="K94" s="14">
        <v>201.5</v>
      </c>
      <c r="L94" s="19">
        <v>116.5</v>
      </c>
    </row>
    <row r="95" spans="1:12" x14ac:dyDescent="0.35">
      <c r="A95" t="s">
        <v>141</v>
      </c>
      <c r="G95" s="18">
        <v>100</v>
      </c>
      <c r="H95" s="14">
        <v>1805.8</v>
      </c>
      <c r="I95" s="14"/>
      <c r="J95" s="14">
        <v>100</v>
      </c>
      <c r="K95" s="14">
        <v>1374.8</v>
      </c>
      <c r="L95" s="19">
        <v>1330</v>
      </c>
    </row>
    <row r="96" spans="1:12" x14ac:dyDescent="0.35">
      <c r="A96" t="s">
        <v>142</v>
      </c>
      <c r="G96" s="18">
        <v>200</v>
      </c>
      <c r="H96" s="14">
        <v>5172.3</v>
      </c>
      <c r="I96" s="14"/>
      <c r="J96" s="14">
        <v>200</v>
      </c>
      <c r="K96" s="14">
        <v>4036.8</v>
      </c>
      <c r="L96" s="19">
        <v>4276</v>
      </c>
    </row>
    <row r="97" spans="1:12" x14ac:dyDescent="0.35">
      <c r="A97" t="s">
        <v>143</v>
      </c>
      <c r="G97" s="18">
        <v>350</v>
      </c>
      <c r="H97" s="14">
        <v>10409</v>
      </c>
      <c r="I97" s="14"/>
      <c r="J97" s="14">
        <v>350</v>
      </c>
      <c r="K97" s="14">
        <v>8829.5</v>
      </c>
      <c r="L97" s="19">
        <v>8891.5</v>
      </c>
    </row>
    <row r="98" spans="1:12" x14ac:dyDescent="0.35">
      <c r="A98" t="s">
        <v>230</v>
      </c>
      <c r="G98" s="18">
        <v>500</v>
      </c>
      <c r="H98" s="14">
        <v>16212</v>
      </c>
      <c r="I98" s="14"/>
      <c r="J98" s="14">
        <v>500</v>
      </c>
      <c r="K98" s="14">
        <v>14868</v>
      </c>
      <c r="L98" s="19">
        <v>15399</v>
      </c>
    </row>
    <row r="99" spans="1:12" x14ac:dyDescent="0.35">
      <c r="A99" t="s">
        <v>164</v>
      </c>
      <c r="G99" s="18">
        <v>700</v>
      </c>
      <c r="H99" s="14">
        <v>22969</v>
      </c>
      <c r="I99" s="14"/>
      <c r="J99" s="14">
        <v>700</v>
      </c>
      <c r="K99" s="14">
        <v>20504</v>
      </c>
      <c r="L99" s="19">
        <v>22964</v>
      </c>
    </row>
    <row r="100" spans="1:12" x14ac:dyDescent="0.35">
      <c r="A100" t="s">
        <v>165</v>
      </c>
      <c r="G100" s="20">
        <v>1000</v>
      </c>
      <c r="H100" s="21">
        <v>34147</v>
      </c>
      <c r="I100" s="21"/>
      <c r="J100" s="21">
        <v>1000</v>
      </c>
      <c r="K100" s="21">
        <v>32804</v>
      </c>
      <c r="L100" s="22">
        <v>27240</v>
      </c>
    </row>
    <row r="101" spans="1:12" x14ac:dyDescent="0.35">
      <c r="A101" t="s">
        <v>166</v>
      </c>
    </row>
    <row r="102" spans="1:12" x14ac:dyDescent="0.35">
      <c r="A102" t="s">
        <v>197</v>
      </c>
    </row>
    <row r="103" spans="1:12" x14ac:dyDescent="0.35">
      <c r="A103" t="s">
        <v>198</v>
      </c>
    </row>
    <row r="104" spans="1:12" x14ac:dyDescent="0.35">
      <c r="A104" t="s">
        <v>205</v>
      </c>
    </row>
    <row r="105" spans="1:12" x14ac:dyDescent="0.35">
      <c r="A105" t="s">
        <v>206</v>
      </c>
    </row>
    <row r="106" spans="1:12" x14ac:dyDescent="0.35">
      <c r="A106" t="s">
        <v>207</v>
      </c>
    </row>
    <row r="107" spans="1:12" x14ac:dyDescent="0.35">
      <c r="A107" t="s">
        <v>208</v>
      </c>
    </row>
    <row r="108" spans="1:12" x14ac:dyDescent="0.35">
      <c r="A108" t="s">
        <v>209</v>
      </c>
    </row>
    <row r="109" spans="1:12" x14ac:dyDescent="0.35">
      <c r="A109" t="s">
        <v>210</v>
      </c>
    </row>
    <row r="110" spans="1:12" x14ac:dyDescent="0.35">
      <c r="A110" t="s">
        <v>144</v>
      </c>
    </row>
    <row r="111" spans="1:12" x14ac:dyDescent="0.35">
      <c r="A111" t="s">
        <v>145</v>
      </c>
    </row>
    <row r="112" spans="1:12" x14ac:dyDescent="0.35">
      <c r="A112" t="s">
        <v>146</v>
      </c>
    </row>
    <row r="113" spans="1:1" x14ac:dyDescent="0.35">
      <c r="A113" t="s">
        <v>147</v>
      </c>
    </row>
    <row r="114" spans="1:1" x14ac:dyDescent="0.35">
      <c r="A114" t="s">
        <v>148</v>
      </c>
    </row>
    <row r="115" spans="1:1" x14ac:dyDescent="0.35">
      <c r="A115" t="s">
        <v>149</v>
      </c>
    </row>
    <row r="116" spans="1:1" x14ac:dyDescent="0.35">
      <c r="A116" t="s">
        <v>150</v>
      </c>
    </row>
    <row r="117" spans="1:1" x14ac:dyDescent="0.35">
      <c r="A117" t="s">
        <v>151</v>
      </c>
    </row>
    <row r="118" spans="1:1" x14ac:dyDescent="0.35">
      <c r="A118" t="s">
        <v>211</v>
      </c>
    </row>
    <row r="119" spans="1:1" x14ac:dyDescent="0.35">
      <c r="A119" t="s">
        <v>153</v>
      </c>
    </row>
    <row r="120" spans="1:1" x14ac:dyDescent="0.35">
      <c r="A120" t="s">
        <v>154</v>
      </c>
    </row>
    <row r="121" spans="1:1" x14ac:dyDescent="0.35">
      <c r="A121" t="s">
        <v>212</v>
      </c>
    </row>
    <row r="122" spans="1:1" x14ac:dyDescent="0.35">
      <c r="A122" t="s">
        <v>155</v>
      </c>
    </row>
    <row r="123" spans="1:1" x14ac:dyDescent="0.35">
      <c r="A123" t="s">
        <v>156</v>
      </c>
    </row>
    <row r="124" spans="1:1" x14ac:dyDescent="0.35">
      <c r="A124" t="s">
        <v>213</v>
      </c>
    </row>
    <row r="125" spans="1:1" x14ac:dyDescent="0.35">
      <c r="A125" t="s">
        <v>144</v>
      </c>
    </row>
    <row r="126" spans="1:1" x14ac:dyDescent="0.35">
      <c r="A126" t="s">
        <v>145</v>
      </c>
    </row>
    <row r="127" spans="1:1" x14ac:dyDescent="0.35">
      <c r="A127" t="s">
        <v>146</v>
      </c>
    </row>
    <row r="128" spans="1:1" x14ac:dyDescent="0.35">
      <c r="A128" t="s">
        <v>147</v>
      </c>
    </row>
    <row r="129" spans="1:1" x14ac:dyDescent="0.35">
      <c r="A129" t="s">
        <v>148</v>
      </c>
    </row>
    <row r="130" spans="1:1" x14ac:dyDescent="0.35">
      <c r="A130" t="s">
        <v>149</v>
      </c>
    </row>
    <row r="131" spans="1:1" x14ac:dyDescent="0.35">
      <c r="A131" t="s">
        <v>150</v>
      </c>
    </row>
    <row r="132" spans="1:1" x14ac:dyDescent="0.35">
      <c r="A132" t="s">
        <v>151</v>
      </c>
    </row>
    <row r="133" spans="1:1" x14ac:dyDescent="0.35">
      <c r="A133" t="s">
        <v>152</v>
      </c>
    </row>
    <row r="134" spans="1:1" x14ac:dyDescent="0.35">
      <c r="A134" t="s">
        <v>153</v>
      </c>
    </row>
    <row r="135" spans="1:1" x14ac:dyDescent="0.35">
      <c r="A135" t="s">
        <v>154</v>
      </c>
    </row>
    <row r="136" spans="1:1" x14ac:dyDescent="0.35">
      <c r="A136" t="s">
        <v>212</v>
      </c>
    </row>
    <row r="137" spans="1:1" x14ac:dyDescent="0.35">
      <c r="A137" t="s">
        <v>155</v>
      </c>
    </row>
    <row r="138" spans="1:1" x14ac:dyDescent="0.35">
      <c r="A138" t="s">
        <v>156</v>
      </c>
    </row>
    <row r="139" spans="1:1" x14ac:dyDescent="0.35">
      <c r="A139" t="s">
        <v>157</v>
      </c>
    </row>
    <row r="140" spans="1:1" x14ac:dyDescent="0.35">
      <c r="A140" t="s">
        <v>223</v>
      </c>
    </row>
    <row r="141" spans="1:1" x14ac:dyDescent="0.35">
      <c r="A141" t="s">
        <v>224</v>
      </c>
    </row>
    <row r="142" spans="1:1" x14ac:dyDescent="0.35">
      <c r="A142" t="s">
        <v>225</v>
      </c>
    </row>
    <row r="143" spans="1:1" x14ac:dyDescent="0.35">
      <c r="A143" t="s">
        <v>231</v>
      </c>
    </row>
    <row r="144" spans="1:1" x14ac:dyDescent="0.35">
      <c r="A144" t="s">
        <v>232</v>
      </c>
    </row>
    <row r="145" spans="1:1" x14ac:dyDescent="0.35">
      <c r="A14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Ba+Avicel</vt:lpstr>
      <vt:lpstr>Sc+Avicel</vt:lpstr>
      <vt:lpstr>Sc+CNF</vt:lpstr>
      <vt:lpstr>Sc+CNC</vt:lpstr>
      <vt:lpstr>Ba Sc + a-chitin</vt:lpstr>
      <vt:lpstr>Ba Sc + b-chitin</vt:lpstr>
      <vt:lpstr>Sc + PET</vt:lpstr>
      <vt:lpstr>Sc mut + PET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Susanne Hansen Troøyen</dc:creator>
  <cp:lastModifiedBy>Susanne Hansen Troøyen</cp:lastModifiedBy>
  <dcterms:created xsi:type="dcterms:W3CDTF">2026-02-19T13:15:35Z</dcterms:created>
  <dcterms:modified xsi:type="dcterms:W3CDTF">2026-08-15T12:26:42Z</dcterms:modified>
</cp:coreProperties>
</file>